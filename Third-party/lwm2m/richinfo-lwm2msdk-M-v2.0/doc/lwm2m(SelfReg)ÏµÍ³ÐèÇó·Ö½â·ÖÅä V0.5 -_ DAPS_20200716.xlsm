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W317\"/>
    </mc:Choice>
  </mc:AlternateContent>
  <bookViews>
    <workbookView xWindow="0" yWindow="0" windowWidth="12270" windowHeight="6975" activeTab="4"/>
  </bookViews>
  <sheets>
    <sheet name="封面" sheetId="15" r:id="rId1"/>
    <sheet name="History" sheetId="13" r:id="rId2"/>
    <sheet name="CCB记录" sheetId="14" r:id="rId3"/>
    <sheet name="IR" sheetId="16" r:id="rId4"/>
    <sheet name="需求分解分配表" sheetId="10" r:id="rId5"/>
    <sheet name="交付地图" sheetId="6" r:id="rId6"/>
    <sheet name="配置信息" sheetId="5" r:id="rId7"/>
    <sheet name="异常信息" sheetId="12" state="hidden" r:id="rId8"/>
  </sheets>
  <externalReferences>
    <externalReference r:id="rId9"/>
    <externalReference r:id="rId10"/>
    <externalReference r:id="rId11"/>
    <externalReference r:id="rId12"/>
    <externalReference r:id="rId13"/>
  </externalReferences>
  <definedNames>
    <definedName name="__C0745_133917_DEFECT_LEVEL">[1]帮助!$A$15:$A$17</definedName>
    <definedName name="__C0745_DEFECT_LEVEL">[1]帮助!$A$21:$A$23</definedName>
    <definedName name="__C0745_LAST_RESULT">[1]帮助!$A$52:$A$53</definedName>
    <definedName name="__C0745_REVIEW_STATUS">[1]帮助!$A$45:$A$48</definedName>
    <definedName name="_C0745_133917_DEFECT_LEVEL">[1]帮助!$A$15:$A$17</definedName>
    <definedName name="_C0745_DEFECT_LEVEL">[1]帮助!$A$21:$A$23</definedName>
    <definedName name="_C0745_LAST_RESULT">[1]帮助!$A$52:$A$53</definedName>
    <definedName name="_C0745_REVIEW_STATUS">[1]帮助!$A$45:$A$48</definedName>
    <definedName name="_xlnm._FilterDatabase" localSheetId="4" hidden="1">需求分解分配表!$A$1:$AJ$12</definedName>
    <definedName name="_xlnm._FilterDatabase" localSheetId="7" hidden="1">异常信息!$A$1:$C$244</definedName>
    <definedName name="C19807_RISK_IMPACT">[2]配置!$A$8:$C$8</definedName>
    <definedName name="C19807_RISK_IMPACT_1">[3]配置!$A$8:$C$8</definedName>
    <definedName name="C19807_RISK_LIKELIHOOD">[2]配置!$A$4:$C$4</definedName>
    <definedName name="c19807_RISK_LIKELIHOOD_1">[3]配置!$A$4:$C$4</definedName>
    <definedName name="C19807_RISK_STATUS">[2]配置!$A$12:$D$12</definedName>
    <definedName name="Position">[4]Sheet2!$A$13:$A$15</definedName>
    <definedName name="_xlnm.Print_Titles">#N/A</definedName>
    <definedName name="Status">[4]Sheet2!$A$4:$A$8</definedName>
    <definedName name="WCN">#REF!</definedName>
    <definedName name="部门及项目名称">[5]基础信息!$I$3:$I$220</definedName>
    <definedName name="出行方式">[5]基础信息!$AB$3:$AB$7</definedName>
    <definedName name="出行目的">[5]基础信息!$AA$3:$AA$9</definedName>
    <definedName name="费用范围">[5]基础信息!$Q$3:$Q$5</definedName>
    <definedName name="工程师职级">[5]基础信息!$M$3:$M$25</definedName>
    <definedName name="律师费范围">[5]基础信息!$U$3:$U$5</definedName>
    <definedName name="年限">[5]基础信息!$S$3:$S$10</definedName>
    <definedName name="是" localSheetId="3">#REF!</definedName>
    <definedName name="是" localSheetId="0">#REF!</definedName>
    <definedName name="是" localSheetId="4">#REF!</definedName>
    <definedName name="是">#REF!</definedName>
    <definedName name="项目清单">[5]基础信息!$I$116:$I$220</definedName>
    <definedName name="月份">[5]基础信息!$F$3:$F$15</definedName>
    <definedName name="专利申请及维持费类别">[5]基础信息!$O$3:$O$7</definedName>
    <definedName name="资产类别">[5]基础信息!$AD$3:$AD$37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" i="10" l="1"/>
</calcChain>
</file>

<file path=xl/comments1.xml><?xml version="1.0" encoding="utf-8"?>
<comments xmlns="http://schemas.openxmlformats.org/spreadsheetml/2006/main">
  <authors>
    <author>Xiao, Zhengfei (肖正飞)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Xiao, Zhengfei (肖正飞):</t>
        </r>
        <r>
          <rPr>
            <sz val="9"/>
            <color indexed="81"/>
            <rFont val="宋体"/>
            <family val="3"/>
            <charset val="134"/>
          </rPr>
          <t xml:space="preserve">
黄色部分列由项目执行团队，如RDPDT/PM填写。</t>
        </r>
      </text>
    </comment>
  </commentList>
</comments>
</file>

<file path=xl/sharedStrings.xml><?xml version="1.0" encoding="utf-8"?>
<sst xmlns="http://schemas.openxmlformats.org/spreadsheetml/2006/main" count="198" uniqueCount="170">
  <si>
    <t>AR ID</t>
    <phoneticPr fontId="4" type="noConversion"/>
  </si>
  <si>
    <t>Pike2</t>
    <phoneticPr fontId="4" type="noConversion"/>
  </si>
  <si>
    <t>SharkL5</t>
    <phoneticPr fontId="4" type="noConversion"/>
  </si>
  <si>
    <t>配置项</t>
    <phoneticPr fontId="1" type="noConversion"/>
  </si>
  <si>
    <t>配置内容</t>
    <phoneticPr fontId="1" type="noConversion"/>
  </si>
  <si>
    <t>起始日期</t>
    <phoneticPr fontId="1" type="noConversion"/>
  </si>
  <si>
    <t>行号</t>
    <phoneticPr fontId="1" type="noConversion"/>
  </si>
  <si>
    <t>结果</t>
    <phoneticPr fontId="1" type="noConversion"/>
  </si>
  <si>
    <t>原因</t>
    <phoneticPr fontId="1" type="noConversion"/>
  </si>
  <si>
    <t>AR Description</t>
    <phoneticPr fontId="4" type="noConversion"/>
  </si>
  <si>
    <t>能力中心</t>
    <phoneticPr fontId="4" type="noConversion"/>
  </si>
  <si>
    <t>状态</t>
    <phoneticPr fontId="4" type="noConversion"/>
  </si>
  <si>
    <t>未开始</t>
  </si>
  <si>
    <t>前置任务</t>
    <phoneticPr fontId="4" type="noConversion"/>
  </si>
  <si>
    <t>SharkL3</t>
    <phoneticPr fontId="4" type="noConversion"/>
  </si>
  <si>
    <t>SharkL5 Pro -610</t>
    <phoneticPr fontId="4" type="noConversion"/>
  </si>
  <si>
    <t>SharkL5 Pro -618</t>
    <phoneticPr fontId="4" type="noConversion"/>
  </si>
  <si>
    <t>备注</t>
    <phoneticPr fontId="4" type="noConversion"/>
  </si>
  <si>
    <t>SharkLE</t>
    <phoneticPr fontId="4" type="noConversion"/>
  </si>
  <si>
    <t>最早开始时间</t>
    <phoneticPr fontId="4" type="noConversion"/>
  </si>
  <si>
    <t>SR持续时间
（天）</t>
    <phoneticPr fontId="4" type="noConversion"/>
  </si>
  <si>
    <t>Modify History</t>
    <phoneticPr fontId="7" type="noConversion"/>
  </si>
  <si>
    <t>Version</t>
    <phoneticPr fontId="7" type="noConversion"/>
  </si>
  <si>
    <t>Date</t>
    <phoneticPr fontId="7" type="noConversion"/>
  </si>
  <si>
    <t>Author</t>
    <phoneticPr fontId="7" type="noConversion"/>
  </si>
  <si>
    <t>Note</t>
    <phoneticPr fontId="7" type="noConversion"/>
  </si>
  <si>
    <t>V0.1</t>
    <phoneticPr fontId="7" type="noConversion"/>
  </si>
  <si>
    <t>肖正飞</t>
    <phoneticPr fontId="7" type="noConversion"/>
  </si>
  <si>
    <t>Create</t>
    <phoneticPr fontId="7" type="noConversion"/>
  </si>
  <si>
    <t>编号</t>
    <phoneticPr fontId="4" type="noConversion"/>
  </si>
  <si>
    <t>发起人</t>
    <phoneticPr fontId="4" type="noConversion"/>
  </si>
  <si>
    <t>变更项概述</t>
    <phoneticPr fontId="4" type="noConversion"/>
  </si>
  <si>
    <t>变更前</t>
    <phoneticPr fontId="4" type="noConversion"/>
  </si>
  <si>
    <t>变更后</t>
    <phoneticPr fontId="4" type="noConversion"/>
  </si>
  <si>
    <t>执行owner</t>
    <phoneticPr fontId="4" type="noConversion"/>
  </si>
  <si>
    <t>CCB结论</t>
    <phoneticPr fontId="4" type="noConversion"/>
  </si>
  <si>
    <t>CCB时间</t>
    <phoneticPr fontId="4" type="noConversion"/>
  </si>
  <si>
    <t>项目名称</t>
    <phoneticPr fontId="4" type="noConversion"/>
  </si>
  <si>
    <t>作者</t>
    <phoneticPr fontId="4" type="noConversion"/>
  </si>
  <si>
    <t>责任部门</t>
    <phoneticPr fontId="4" type="noConversion"/>
  </si>
  <si>
    <t>发布日期</t>
    <phoneticPr fontId="4" type="noConversion"/>
  </si>
  <si>
    <t>T7510 FDD NR PCR Project</t>
    <phoneticPr fontId="7" type="noConversion"/>
  </si>
  <si>
    <t>2020.6.16</t>
    <phoneticPr fontId="4" type="noConversion"/>
  </si>
  <si>
    <t>中央研究院系统架构部</t>
    <phoneticPr fontId="4" type="noConversion"/>
  </si>
  <si>
    <t>SOC技术资源一部</t>
    <phoneticPr fontId="4" type="noConversion"/>
  </si>
  <si>
    <t>SOC技术资源二部</t>
    <phoneticPr fontId="4" type="noConversion"/>
  </si>
  <si>
    <t>通信芯片技术资源部</t>
    <phoneticPr fontId="4" type="noConversion"/>
  </si>
  <si>
    <t>芯片模拟技术资源部</t>
    <phoneticPr fontId="4" type="noConversion"/>
  </si>
  <si>
    <t>芯片后端技术资源部</t>
    <phoneticPr fontId="4" type="noConversion"/>
  </si>
  <si>
    <t>芯片制造测试技术资源部</t>
    <phoneticPr fontId="4" type="noConversion"/>
  </si>
  <si>
    <t>射频技术资源一部</t>
    <phoneticPr fontId="4" type="noConversion"/>
  </si>
  <si>
    <t>射频技术资源二部</t>
    <phoneticPr fontId="4" type="noConversion"/>
  </si>
  <si>
    <t>射频技术资源三部</t>
    <phoneticPr fontId="4" type="noConversion"/>
  </si>
  <si>
    <t>研发管理部系统架构部</t>
    <phoneticPr fontId="4" type="noConversion"/>
  </si>
  <si>
    <t>智能软件技术资源部</t>
    <phoneticPr fontId="4" type="noConversion"/>
  </si>
  <si>
    <t>嵌入式软件技术资源部</t>
    <phoneticPr fontId="4" type="noConversion"/>
  </si>
  <si>
    <t>基础软件技术资源部</t>
    <phoneticPr fontId="4" type="noConversion"/>
  </si>
  <si>
    <t>数字硬件技术资源部</t>
    <phoneticPr fontId="4" type="noConversion"/>
  </si>
  <si>
    <t>验证与装备开发技术资源部</t>
    <phoneticPr fontId="4" type="noConversion"/>
  </si>
  <si>
    <t>模拟硬件技术资源部</t>
    <phoneticPr fontId="4" type="noConversion"/>
  </si>
  <si>
    <t>多媒体工程技术资源部</t>
    <phoneticPr fontId="4" type="noConversion"/>
  </si>
  <si>
    <t>多媒体集成技术资源部</t>
    <phoneticPr fontId="4" type="noConversion"/>
  </si>
  <si>
    <t>应用与媒体平台测试技术资源部</t>
    <phoneticPr fontId="4" type="noConversion"/>
  </si>
  <si>
    <t>工具与版本集成技术资源部</t>
    <phoneticPr fontId="4" type="noConversion"/>
  </si>
  <si>
    <t>通讯测试技术资源部</t>
    <phoneticPr fontId="4" type="noConversion"/>
  </si>
  <si>
    <t>火凤凰（软件和质量）技术竞争力中心</t>
    <phoneticPr fontId="4" type="noConversion"/>
  </si>
  <si>
    <t>驱动与工具技术资源部</t>
    <phoneticPr fontId="4" type="noConversion"/>
  </si>
  <si>
    <t>多媒体算法技术资源部</t>
    <phoneticPr fontId="4" type="noConversion"/>
  </si>
  <si>
    <t>多媒体设计技术资源部</t>
    <phoneticPr fontId="4" type="noConversion"/>
  </si>
  <si>
    <t>通信算法技术资源部</t>
    <phoneticPr fontId="4" type="noConversion"/>
  </si>
  <si>
    <t>通信软件技术资源一部</t>
    <phoneticPr fontId="4" type="noConversion"/>
  </si>
  <si>
    <t>通信软件技术资源二部</t>
    <phoneticPr fontId="4" type="noConversion"/>
  </si>
  <si>
    <t>多媒体技术竞争力中心</t>
    <phoneticPr fontId="4" type="noConversion"/>
  </si>
  <si>
    <t>半导体技术竞争力中心</t>
    <phoneticPr fontId="4" type="noConversion"/>
  </si>
  <si>
    <t>马卡鲁（通信）技术竞争力中心</t>
    <phoneticPr fontId="4" type="noConversion"/>
  </si>
  <si>
    <t>封装设计技术资源部</t>
    <phoneticPr fontId="4" type="noConversion"/>
  </si>
  <si>
    <t>先进通信技术实验室</t>
    <phoneticPr fontId="1" type="noConversion"/>
  </si>
  <si>
    <t>AI技术实验室</t>
    <phoneticPr fontId="1" type="noConversion"/>
  </si>
  <si>
    <t>中央研究院项目执行部</t>
    <phoneticPr fontId="1" type="noConversion"/>
  </si>
  <si>
    <t>研发管理部项目执行部</t>
    <phoneticPr fontId="1" type="noConversion"/>
  </si>
  <si>
    <t>工作量总计：</t>
    <phoneticPr fontId="4" type="noConversion"/>
  </si>
  <si>
    <t>工作量预估(代码行)
单位：KLOC</t>
    <phoneticPr fontId="4" type="noConversion"/>
  </si>
  <si>
    <t>工作量预估
单位：人天</t>
    <phoneticPr fontId="4" type="noConversion"/>
  </si>
  <si>
    <t>XXX项目需求基线</t>
    <phoneticPr fontId="4" type="noConversion"/>
  </si>
  <si>
    <t>xxx</t>
    <phoneticPr fontId="4" type="noConversion"/>
  </si>
  <si>
    <r>
      <rPr>
        <sz val="11"/>
        <color indexed="9"/>
        <rFont val="宋体"/>
        <family val="3"/>
        <charset val="134"/>
      </rPr>
      <t>领域</t>
    </r>
    <phoneticPr fontId="4" type="noConversion"/>
  </si>
  <si>
    <r>
      <rPr>
        <sz val="11"/>
        <color indexed="9"/>
        <rFont val="宋体"/>
        <family val="3"/>
        <charset val="134"/>
      </rPr>
      <t>初始需求描述</t>
    </r>
    <phoneticPr fontId="4" type="noConversion"/>
  </si>
  <si>
    <r>
      <rPr>
        <sz val="11"/>
        <color indexed="9"/>
        <rFont val="宋体"/>
        <family val="3"/>
        <charset val="134"/>
      </rPr>
      <t>分析人</t>
    </r>
    <phoneticPr fontId="4" type="noConversion"/>
  </si>
  <si>
    <r>
      <rPr>
        <sz val="11"/>
        <color indexed="9"/>
        <rFont val="宋体"/>
        <family val="3"/>
        <charset val="134"/>
      </rPr>
      <t>是否基线化</t>
    </r>
    <phoneticPr fontId="4" type="noConversion"/>
  </si>
  <si>
    <t>初始需求编号</t>
    <phoneticPr fontId="4" type="noConversion"/>
  </si>
  <si>
    <r>
      <rPr>
        <sz val="11"/>
        <color indexed="9"/>
        <rFont val="宋体"/>
        <family val="3"/>
        <charset val="134"/>
      </rPr>
      <t>系统特性编号</t>
    </r>
    <phoneticPr fontId="4" type="noConversion"/>
  </si>
  <si>
    <t>系统特性描述</t>
    <phoneticPr fontId="4" type="noConversion"/>
  </si>
  <si>
    <r>
      <rPr>
        <sz val="11"/>
        <color indexed="9"/>
        <rFont val="宋体"/>
        <family val="3"/>
        <charset val="134"/>
      </rPr>
      <t>系统需求编号</t>
    </r>
    <phoneticPr fontId="4" type="noConversion"/>
  </si>
  <si>
    <t>系统需求描述</t>
    <phoneticPr fontId="4" type="noConversion"/>
  </si>
  <si>
    <t>Display_001</t>
    <phoneticPr fontId="4" type="noConversion"/>
  </si>
  <si>
    <t>显示</t>
    <phoneticPr fontId="4" type="noConversion"/>
  </si>
  <si>
    <t>支持DP双屏异显，规格上对标竞品xxx</t>
    <phoneticPr fontId="4" type="noConversion"/>
  </si>
  <si>
    <t>张晓龙</t>
    <phoneticPr fontId="1" type="noConversion"/>
  </si>
  <si>
    <t>文档说明和链接</t>
    <phoneticPr fontId="4" type="noConversion"/>
  </si>
  <si>
    <t>类别</t>
    <phoneticPr fontId="4" type="noConversion"/>
  </si>
  <si>
    <t>基线化状态</t>
    <phoneticPr fontId="4" type="noConversion"/>
  </si>
  <si>
    <t>实现状态</t>
    <phoneticPr fontId="4" type="noConversion"/>
  </si>
  <si>
    <t>SE责任人</t>
    <phoneticPr fontId="4" type="noConversion"/>
  </si>
  <si>
    <t>Process</t>
    <phoneticPr fontId="4" type="noConversion"/>
  </si>
  <si>
    <t>CPU</t>
    <phoneticPr fontId="4" type="noConversion"/>
  </si>
  <si>
    <t>GPU</t>
    <phoneticPr fontId="4" type="noConversion"/>
  </si>
  <si>
    <t>Modem</t>
    <phoneticPr fontId="4" type="noConversion"/>
  </si>
  <si>
    <t>Camera</t>
    <phoneticPr fontId="4" type="noConversion"/>
  </si>
  <si>
    <t>AI</t>
    <phoneticPr fontId="4" type="noConversion"/>
  </si>
  <si>
    <t>Display</t>
    <phoneticPr fontId="4" type="noConversion"/>
  </si>
  <si>
    <t>Video</t>
    <phoneticPr fontId="4" type="noConversion"/>
  </si>
  <si>
    <t>Audio</t>
    <phoneticPr fontId="4" type="noConversion"/>
  </si>
  <si>
    <t>Peripheral Interface</t>
    <phoneticPr fontId="4" type="noConversion"/>
  </si>
  <si>
    <t>Ambient</t>
    <phoneticPr fontId="4" type="noConversion"/>
  </si>
  <si>
    <t>WIFI</t>
    <phoneticPr fontId="4" type="noConversion"/>
  </si>
  <si>
    <t>BT</t>
    <phoneticPr fontId="4" type="noConversion"/>
  </si>
  <si>
    <t>GNSS</t>
    <phoneticPr fontId="4" type="noConversion"/>
  </si>
  <si>
    <t>FM</t>
    <phoneticPr fontId="4" type="noConversion"/>
  </si>
  <si>
    <t>RFIC</t>
    <phoneticPr fontId="4" type="noConversion"/>
  </si>
  <si>
    <t>Power Supply</t>
    <phoneticPr fontId="4" type="noConversion"/>
  </si>
  <si>
    <t>Sensors</t>
    <phoneticPr fontId="4" type="noConversion"/>
  </si>
  <si>
    <t>AON_SP</t>
    <phoneticPr fontId="4" type="noConversion"/>
  </si>
  <si>
    <t>Clock</t>
    <phoneticPr fontId="4" type="noConversion"/>
  </si>
  <si>
    <t>Power Consumption</t>
    <phoneticPr fontId="4" type="noConversion"/>
  </si>
  <si>
    <t>Common</t>
    <phoneticPr fontId="4" type="noConversion"/>
  </si>
  <si>
    <t>DFX</t>
    <phoneticPr fontId="4" type="noConversion"/>
  </si>
  <si>
    <t>支持</t>
    <phoneticPr fontId="4" type="noConversion"/>
  </si>
  <si>
    <t>不支持</t>
    <phoneticPr fontId="4" type="noConversion"/>
  </si>
  <si>
    <t>待定</t>
    <phoneticPr fontId="4" type="noConversion"/>
  </si>
  <si>
    <t>基线化</t>
  </si>
  <si>
    <t>未基线化</t>
  </si>
  <si>
    <t>基线化</t>
    <phoneticPr fontId="4" type="noConversion"/>
  </si>
  <si>
    <t>未基线化</t>
    <phoneticPr fontId="4" type="noConversion"/>
  </si>
  <si>
    <t>基线化前删除</t>
    <phoneticPr fontId="4" type="noConversion"/>
  </si>
  <si>
    <t>基线化后删除</t>
    <phoneticPr fontId="4" type="noConversion"/>
  </si>
  <si>
    <t>自测完成</t>
    <phoneticPr fontId="4" type="noConversion"/>
  </si>
  <si>
    <t>未开始</t>
    <phoneticPr fontId="4" type="noConversion"/>
  </si>
  <si>
    <t>是</t>
    <phoneticPr fontId="4" type="noConversion"/>
  </si>
  <si>
    <t>SF.SelfReg_001.0001</t>
    <phoneticPr fontId="4" type="noConversion"/>
  </si>
  <si>
    <t>SR.SelfReg_001.0001.0002</t>
  </si>
  <si>
    <t>SR.SelfReg_001.0001.0001</t>
    <phoneticPr fontId="4" type="noConversion"/>
  </si>
  <si>
    <t>移植中移动提供的richinfo-lwm2msdk-M-v2.0 到MOCOR 平台，用于支持中移动设备入库</t>
    <phoneticPr fontId="4" type="noConversion"/>
  </si>
  <si>
    <t>添加 socket 适配层</t>
    <phoneticPr fontId="4" type="noConversion"/>
  </si>
  <si>
    <t>添加 pthread 适配层</t>
    <phoneticPr fontId="4" type="noConversion"/>
  </si>
  <si>
    <t>配合MMI跑通测试用例</t>
    <phoneticPr fontId="4" type="noConversion"/>
  </si>
  <si>
    <t>SelfReg_001</t>
    <phoneticPr fontId="4" type="noConversion"/>
  </si>
  <si>
    <t>MOCOR平台编译通过richinfo-lwm2msdk-M-v2.0</t>
    <phoneticPr fontId="4" type="noConversion"/>
  </si>
  <si>
    <t>从GRPC/GoogleVoiceAssistant项目移植</t>
    <phoneticPr fontId="4" type="noConversion"/>
  </si>
  <si>
    <t>quanjie.wang</t>
    <phoneticPr fontId="4" type="noConversion"/>
  </si>
  <si>
    <t>AR.SelfReg_001.0001.0001.002</t>
    <phoneticPr fontId="4" type="noConversion"/>
  </si>
  <si>
    <t>AR.SelfReg_001.0001.0001.003</t>
    <phoneticPr fontId="4" type="noConversion"/>
  </si>
  <si>
    <t>AR.SelfReg_001.0001.0001.004</t>
    <phoneticPr fontId="4" type="noConversion"/>
  </si>
  <si>
    <t>AR.SelfReg_001.0001.0001.005</t>
    <phoneticPr fontId="4" type="noConversion"/>
  </si>
  <si>
    <t>AR.SelfReg_001.0001.0001.006</t>
    <phoneticPr fontId="4" type="noConversion"/>
  </si>
  <si>
    <t>AR.SelfReg_001.0001.0002.001</t>
    <phoneticPr fontId="4" type="noConversion"/>
  </si>
  <si>
    <t>AR.SelfReg_001.0001.0002.002</t>
    <phoneticPr fontId="4" type="noConversion"/>
  </si>
  <si>
    <t>AR.SelfReg_001.0001.0002.003</t>
    <phoneticPr fontId="4" type="noConversion"/>
  </si>
  <si>
    <t>支援MMI调试和验收测试用例</t>
    <phoneticPr fontId="4" type="noConversion"/>
  </si>
  <si>
    <t>richinfo-lwm2msdk-M-v2.0 源码中platform.c 适配</t>
    <phoneticPr fontId="4" type="noConversion"/>
  </si>
  <si>
    <t>MMI先行进行lwm2m应用编程接口的模拟，若7/23无法交付此SR，需讨论应对方案</t>
    <phoneticPr fontId="4" type="noConversion"/>
  </si>
  <si>
    <t>richinfo-lwm2msdk-M-v2.0中间件Porting，并跑通自带Demo程序</t>
    <phoneticPr fontId="4" type="noConversion"/>
  </si>
  <si>
    <t>起始日期：2020-07-16</t>
  </si>
  <si>
    <t>quanjie.wang &amp; ak.wang</t>
    <phoneticPr fontId="4" type="noConversion"/>
  </si>
  <si>
    <t>AR.SelfReg_001.0001.0001.001</t>
    <phoneticPr fontId="4" type="noConversion"/>
  </si>
  <si>
    <t>MOCOR平台Porting中移动lwm2m中间件HLD</t>
    <phoneticPr fontId="4" type="noConversion"/>
  </si>
  <si>
    <t>AR.SelfReg_001.0001.0001.007</t>
    <phoneticPr fontId="4" type="noConversion"/>
  </si>
  <si>
    <t>MOCOR平台Porting中移动lwm2m中间件LLD</t>
    <phoneticPr fontId="4" type="noConversion"/>
  </si>
  <si>
    <t>调试 richinfo-lwm2msdk-M-v2.0源码中的Demo程序可正常运行</t>
    <phoneticPr fontId="4" type="noConversion"/>
  </si>
  <si>
    <t>与MMI联调</t>
    <phoneticPr fontId="4" type="noConversion"/>
  </si>
  <si>
    <t>支援MMI串接流程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</si>
</sst>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00000"/>
  </numFmts>
  <fonts count="2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9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Arial"/>
      <family val="2"/>
    </font>
    <font>
      <sz val="11"/>
      <color theme="1"/>
      <name val="Arial Narrow"/>
      <family val="2"/>
    </font>
    <font>
      <sz val="11"/>
      <color theme="1"/>
      <name val="宋体"/>
      <family val="3"/>
      <charset val="134"/>
    </font>
    <font>
      <b/>
      <sz val="24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theme="1"/>
      <name val="等线"/>
      <family val="2"/>
      <scheme val="minor"/>
    </font>
    <font>
      <sz val="11"/>
      <color rgb="FFFF0000"/>
      <name val="等线"/>
      <family val="2"/>
      <charset val="134"/>
      <scheme val="minor"/>
    </font>
    <font>
      <sz val="24"/>
      <color rgb="FF000000"/>
      <name val="隶书"/>
      <family val="3"/>
      <charset val="134"/>
    </font>
    <font>
      <sz val="11"/>
      <color rgb="FFFF0000"/>
      <name val="微软雅黑"/>
      <family val="2"/>
      <charset val="134"/>
    </font>
    <font>
      <b/>
      <sz val="11"/>
      <color rgb="FFFF0000"/>
      <name val="等线"/>
      <family val="3"/>
      <charset val="134"/>
      <scheme val="minor"/>
    </font>
    <font>
      <sz val="11"/>
      <color indexed="9"/>
      <name val="Calibri"/>
      <family val="2"/>
    </font>
    <font>
      <sz val="11"/>
      <color indexed="9"/>
      <name val="宋体"/>
      <family val="3"/>
      <charset val="134"/>
    </font>
    <font>
      <sz val="1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36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6">
    <xf numFmtId="0" fontId="0" fillId="0" borderId="0">
      <alignment vertical="center"/>
    </xf>
    <xf numFmtId="0" fontId="2" fillId="0" borderId="0">
      <alignment vertical="center"/>
    </xf>
    <xf numFmtId="0" fontId="3" fillId="0" borderId="0"/>
    <xf numFmtId="0" fontId="9" fillId="0" borderId="0">
      <alignment vertical="center"/>
    </xf>
    <xf numFmtId="0" fontId="11" fillId="0" borderId="0"/>
    <xf numFmtId="0" fontId="22" fillId="6" borderId="0" applyNumberFormat="0" applyBorder="0" applyAlignment="0" applyProtection="0"/>
  </cellStyleXfs>
  <cellXfs count="6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2" borderId="0" xfId="0" applyFill="1">
      <alignment vertical="center"/>
    </xf>
    <xf numFmtId="0" fontId="3" fillId="0" borderId="0" xfId="2" applyAlignment="1">
      <alignment horizontal="left" vertical="center" wrapText="1"/>
    </xf>
    <xf numFmtId="0" fontId="5" fillId="0" borderId="1" xfId="2" applyFont="1" applyBorder="1" applyAlignment="1">
      <alignment horizontal="left" vertical="center" wrapText="1"/>
    </xf>
    <xf numFmtId="0" fontId="5" fillId="0" borderId="0" xfId="2" applyFont="1" applyAlignment="1">
      <alignment horizontal="left" vertical="center" wrapText="1"/>
    </xf>
    <xf numFmtId="0" fontId="6" fillId="0" borderId="1" xfId="2" applyFont="1" applyBorder="1" applyAlignment="1">
      <alignment horizontal="left" vertical="center" wrapText="1"/>
    </xf>
    <xf numFmtId="0" fontId="0" fillId="3" borderId="1" xfId="0" applyFill="1" applyBorder="1">
      <alignment vertical="center"/>
    </xf>
    <xf numFmtId="14" fontId="0" fillId="0" borderId="1" xfId="0" applyNumberFormat="1" applyBorder="1" applyAlignment="1">
      <alignment horizontal="left" vertical="center"/>
    </xf>
    <xf numFmtId="0" fontId="8" fillId="3" borderId="1" xfId="0" applyFont="1" applyFill="1" applyBorder="1" applyAlignment="1">
      <alignment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/>
    <xf numFmtId="0" fontId="0" fillId="0" borderId="0" xfId="0" applyAlignment="1">
      <alignment horizontal="center"/>
    </xf>
    <xf numFmtId="0" fontId="9" fillId="0" borderId="0" xfId="3">
      <alignment vertical="center"/>
    </xf>
    <xf numFmtId="0" fontId="12" fillId="4" borderId="1" xfId="4" applyNumberFormat="1" applyFont="1" applyFill="1" applyBorder="1" applyAlignment="1" applyProtection="1">
      <alignment vertical="center" wrapText="1"/>
    </xf>
    <xf numFmtId="14" fontId="9" fillId="0" borderId="0" xfId="3" applyNumberFormat="1">
      <alignment vertical="center"/>
    </xf>
    <xf numFmtId="0" fontId="13" fillId="0" borderId="1" xfId="3" applyFont="1" applyBorder="1" applyAlignment="1">
      <alignment horizontal="left" vertical="center"/>
    </xf>
    <xf numFmtId="14" fontId="13" fillId="0" borderId="1" xfId="3" applyNumberFormat="1" applyFont="1" applyBorder="1" applyAlignment="1">
      <alignment horizontal="left" vertical="center"/>
    </xf>
    <xf numFmtId="0" fontId="14" fillId="0" borderId="1" xfId="3" applyFont="1" applyFill="1" applyBorder="1" applyAlignment="1">
      <alignment horizontal="left" vertical="center"/>
    </xf>
    <xf numFmtId="0" fontId="13" fillId="0" borderId="1" xfId="3" applyFont="1" applyFill="1" applyBorder="1" applyAlignment="1">
      <alignment horizontal="left" vertical="center" wrapText="1"/>
    </xf>
    <xf numFmtId="0" fontId="14" fillId="0" borderId="1" xfId="3" applyFont="1" applyFill="1" applyBorder="1" applyAlignment="1">
      <alignment horizontal="left" vertical="center" wrapText="1"/>
    </xf>
    <xf numFmtId="0" fontId="13" fillId="0" borderId="1" xfId="3" applyFont="1" applyBorder="1" applyAlignment="1">
      <alignment vertical="center"/>
    </xf>
    <xf numFmtId="14" fontId="13" fillId="0" borderId="1" xfId="3" applyNumberFormat="1" applyFont="1" applyBorder="1" applyAlignment="1">
      <alignment vertical="center"/>
    </xf>
    <xf numFmtId="0" fontId="13" fillId="0" borderId="1" xfId="3" applyFont="1" applyFill="1" applyBorder="1" applyAlignment="1">
      <alignment vertical="center"/>
    </xf>
    <xf numFmtId="0" fontId="13" fillId="0" borderId="1" xfId="3" applyFont="1" applyFill="1" applyBorder="1" applyAlignment="1">
      <alignment vertical="center" wrapText="1"/>
    </xf>
    <xf numFmtId="14" fontId="13" fillId="0" borderId="1" xfId="3" applyNumberFormat="1" applyFont="1" applyBorder="1">
      <alignment vertical="center"/>
    </xf>
    <xf numFmtId="0" fontId="3" fillId="0" borderId="0" xfId="2"/>
    <xf numFmtId="0" fontId="3" fillId="0" borderId="1" xfId="2" applyBorder="1" applyAlignment="1">
      <alignment horizontal="center"/>
    </xf>
    <xf numFmtId="0" fontId="3" fillId="0" borderId="1" xfId="2" applyBorder="1" applyAlignment="1">
      <alignment wrapText="1"/>
    </xf>
    <xf numFmtId="14" fontId="3" fillId="0" borderId="1" xfId="2" applyNumberFormat="1" applyBorder="1" applyAlignment="1">
      <alignment wrapText="1"/>
    </xf>
    <xf numFmtId="0" fontId="3" fillId="0" borderId="0" xfId="2" applyAlignment="1">
      <alignment wrapText="1"/>
    </xf>
    <xf numFmtId="176" fontId="3" fillId="0" borderId="1" xfId="2" applyNumberFormat="1" applyBorder="1"/>
    <xf numFmtId="0" fontId="16" fillId="5" borderId="1" xfId="2" applyFont="1" applyFill="1" applyBorder="1" applyAlignment="1">
      <alignment horizontal="center"/>
    </xf>
    <xf numFmtId="0" fontId="16" fillId="5" borderId="1" xfId="2" applyFont="1" applyFill="1" applyBorder="1" applyAlignment="1">
      <alignment horizontal="center" wrapText="1"/>
    </xf>
    <xf numFmtId="0" fontId="17" fillId="0" borderId="0" xfId="2" applyFont="1"/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4" fontId="18" fillId="0" borderId="1" xfId="0" applyNumberFormat="1" applyFont="1" applyBorder="1" applyAlignment="1">
      <alignment vertical="center" wrapText="1"/>
    </xf>
    <xf numFmtId="0" fontId="18" fillId="0" borderId="1" xfId="0" applyFont="1" applyBorder="1" applyAlignment="1">
      <alignment vertical="center" wrapText="1"/>
    </xf>
    <xf numFmtId="0" fontId="20" fillId="0" borderId="1" xfId="2" applyFont="1" applyBorder="1" applyAlignment="1">
      <alignment horizontal="left" vertical="center" wrapText="1"/>
    </xf>
    <xf numFmtId="0" fontId="21" fillId="0" borderId="1" xfId="0" applyFont="1" applyBorder="1" applyAlignment="1">
      <alignment horizontal="center"/>
    </xf>
    <xf numFmtId="0" fontId="21" fillId="0" borderId="1" xfId="0" applyFont="1" applyFill="1" applyBorder="1" applyAlignment="1">
      <alignment horizontal="right" vertical="center" wrapText="1"/>
    </xf>
    <xf numFmtId="0" fontId="21" fillId="0" borderId="0" xfId="0" applyFont="1" applyBorder="1" applyAlignment="1">
      <alignment horizontal="center"/>
    </xf>
    <xf numFmtId="0" fontId="22" fillId="6" borderId="0" xfId="5" applyAlignment="1">
      <alignment vertical="center" wrapText="1"/>
    </xf>
    <xf numFmtId="0" fontId="9" fillId="0" borderId="1" xfId="3" applyFont="1" applyBorder="1" applyAlignment="1">
      <alignment vertical="center" wrapText="1"/>
    </xf>
    <xf numFmtId="0" fontId="9" fillId="0" borderId="1" xfId="3" applyBorder="1" applyAlignment="1">
      <alignment vertical="center" wrapText="1"/>
    </xf>
    <xf numFmtId="0" fontId="9" fillId="0" borderId="0" xfId="3" applyFont="1" applyAlignment="1">
      <alignment vertical="center" wrapText="1"/>
    </xf>
    <xf numFmtId="0" fontId="9" fillId="0" borderId="0" xfId="3" applyAlignment="1">
      <alignment vertical="center" wrapText="1"/>
    </xf>
    <xf numFmtId="0" fontId="23" fillId="6" borderId="0" xfId="5" applyFont="1" applyAlignment="1">
      <alignment vertical="center" wrapText="1"/>
    </xf>
    <xf numFmtId="0" fontId="23" fillId="6" borderId="1" xfId="5" applyFont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4" fillId="3" borderId="1" xfId="5" applyFont="1" applyFill="1" applyBorder="1" applyAlignment="1">
      <alignment horizontal="left" vertical="center" wrapText="1"/>
    </xf>
    <xf numFmtId="0" fontId="27" fillId="2" borderId="0" xfId="0" applyFont="1" applyFill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15" fillId="0" borderId="0" xfId="2" applyFont="1" applyAlignment="1">
      <alignment vertical="top" wrapText="1"/>
    </xf>
    <xf numFmtId="0" fontId="3" fillId="0" borderId="0" xfId="2" applyAlignment="1"/>
    <xf numFmtId="0" fontId="10" fillId="0" borderId="0" xfId="3" applyFont="1" applyAlignment="1">
      <alignment horizontal="left"/>
    </xf>
    <xf numFmtId="0" fontId="11" fillId="0" borderId="0" xfId="3" applyFont="1" applyAlignment="1">
      <alignment horizontal="left"/>
    </xf>
    <xf numFmtId="0" fontId="9" fillId="0" borderId="1" xfId="3" applyFont="1" applyBorder="1" applyAlignment="1">
      <alignment horizontal="center" vertical="center" wrapText="1"/>
    </xf>
  </cellXfs>
  <cellStyles count="6">
    <cellStyle name="Accent4_HW_RFI_New_09" xfId="5"/>
    <cellStyle name="常规" xfId="0" builtinId="0"/>
    <cellStyle name="常规 2" xfId="1"/>
    <cellStyle name="常规 2 2" xfId="4"/>
    <cellStyle name="常规 3" xfId="2"/>
    <cellStyle name="常规 3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10</xdr:col>
      <xdr:colOff>342900</xdr:colOff>
      <xdr:row>0</xdr:row>
      <xdr:rowOff>0</xdr:rowOff>
    </xdr:to>
    <xdr:cxnSp macro="">
      <xdr:nvCxnSpPr>
        <xdr:cNvPr id="31" name="曲线连接符 30"/>
        <xdr:cNvCxnSpPr/>
      </xdr:nvCxnSpPr>
      <xdr:spPr>
        <a:xfrm rot="16200000" flipH="1">
          <a:off x="5133975" y="-619125"/>
          <a:ext cx="361950" cy="3771900"/>
        </a:xfrm>
        <a:prstGeom prst="curved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0</xdr:row>
      <xdr:rowOff>0</xdr:rowOff>
    </xdr:to>
    <xdr:cxnSp macro="">
      <xdr:nvCxnSpPr>
        <xdr:cNvPr id="32" name="曲线连接符 31"/>
        <xdr:cNvCxnSpPr/>
      </xdr:nvCxnSpPr>
      <xdr:spPr>
        <a:xfrm rot="16200000" flipH="1">
          <a:off x="6315075" y="-1800225"/>
          <a:ext cx="1085850" cy="6858000"/>
        </a:xfrm>
        <a:prstGeom prst="curved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0</xdr:row>
      <xdr:rowOff>0</xdr:rowOff>
    </xdr:from>
    <xdr:to>
      <xdr:col>10</xdr:col>
      <xdr:colOff>342900</xdr:colOff>
      <xdr:row>0</xdr:row>
      <xdr:rowOff>0</xdr:rowOff>
    </xdr:to>
    <xdr:cxnSp macro="">
      <xdr:nvCxnSpPr>
        <xdr:cNvPr id="43" name="曲线连接符 42"/>
        <xdr:cNvCxnSpPr/>
      </xdr:nvCxnSpPr>
      <xdr:spPr>
        <a:xfrm rot="16200000" flipH="1">
          <a:off x="5133975" y="-619125"/>
          <a:ext cx="361950" cy="3771900"/>
        </a:xfrm>
        <a:prstGeom prst="curved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0</xdr:row>
      <xdr:rowOff>0</xdr:rowOff>
    </xdr:to>
    <xdr:cxnSp macro="">
      <xdr:nvCxnSpPr>
        <xdr:cNvPr id="44" name="曲线连接符 43"/>
        <xdr:cNvCxnSpPr/>
      </xdr:nvCxnSpPr>
      <xdr:spPr>
        <a:xfrm rot="16200000" flipH="1">
          <a:off x="6315075" y="-1800225"/>
          <a:ext cx="1085850" cy="6858000"/>
        </a:xfrm>
        <a:prstGeom prst="curved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0</xdr:row>
      <xdr:rowOff>0</xdr:rowOff>
    </xdr:from>
    <xdr:to>
      <xdr:col>10</xdr:col>
      <xdr:colOff>342900</xdr:colOff>
      <xdr:row>0</xdr:row>
      <xdr:rowOff>0</xdr:rowOff>
    </xdr:to>
    <xdr:cxnSp macro="">
      <xdr:nvCxnSpPr>
        <xdr:cNvPr id="54" name="曲线连接符 53"/>
        <xdr:cNvCxnSpPr/>
      </xdr:nvCxnSpPr>
      <xdr:spPr>
        <a:xfrm rot="16200000" flipH="1">
          <a:off x="5133975" y="-619125"/>
          <a:ext cx="361950" cy="3771900"/>
        </a:xfrm>
        <a:prstGeom prst="curved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0</xdr:row>
      <xdr:rowOff>0</xdr:rowOff>
    </xdr:from>
    <xdr:to>
      <xdr:col>15</xdr:col>
      <xdr:colOff>0</xdr:colOff>
      <xdr:row>0</xdr:row>
      <xdr:rowOff>0</xdr:rowOff>
    </xdr:to>
    <xdr:cxnSp macro="">
      <xdr:nvCxnSpPr>
        <xdr:cNvPr id="55" name="曲线连接符 54"/>
        <xdr:cNvCxnSpPr/>
      </xdr:nvCxnSpPr>
      <xdr:spPr>
        <a:xfrm rot="16200000" flipH="1">
          <a:off x="6315075" y="-1800225"/>
          <a:ext cx="1085850" cy="6858000"/>
        </a:xfrm>
        <a:prstGeom prst="curved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342900</xdr:colOff>
      <xdr:row>0</xdr:row>
      <xdr:rowOff>0</xdr:rowOff>
    </xdr:from>
    <xdr:to>
      <xdr:col>17</xdr:col>
      <xdr:colOff>342900</xdr:colOff>
      <xdr:row>0</xdr:row>
      <xdr:rowOff>0</xdr:rowOff>
    </xdr:to>
    <xdr:cxnSp macro="">
      <xdr:nvCxnSpPr>
        <xdr:cNvPr id="56" name="曲线连接符 55"/>
        <xdr:cNvCxnSpPr/>
      </xdr:nvCxnSpPr>
      <xdr:spPr>
        <a:xfrm rot="16200000" flipH="1">
          <a:off x="9058275" y="-47625"/>
          <a:ext cx="1085850" cy="480060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0</xdr:row>
      <xdr:rowOff>0</xdr:rowOff>
    </xdr:from>
    <xdr:to>
      <xdr:col>17</xdr:col>
      <xdr:colOff>342900</xdr:colOff>
      <xdr:row>0</xdr:row>
      <xdr:rowOff>0</xdr:rowOff>
    </xdr:to>
    <xdr:cxnSp macro="">
      <xdr:nvCxnSpPr>
        <xdr:cNvPr id="59" name="曲线连接符 58"/>
        <xdr:cNvCxnSpPr/>
      </xdr:nvCxnSpPr>
      <xdr:spPr>
        <a:xfrm rot="16200000" flipH="1">
          <a:off x="5724525" y="-1209675"/>
          <a:ext cx="3981450" cy="8572500"/>
        </a:xfrm>
        <a:prstGeom prst="curved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342900</xdr:colOff>
      <xdr:row>0</xdr:row>
      <xdr:rowOff>0</xdr:rowOff>
    </xdr:from>
    <xdr:to>
      <xdr:col>26</xdr:col>
      <xdr:colOff>0</xdr:colOff>
      <xdr:row>0</xdr:row>
      <xdr:rowOff>0</xdr:rowOff>
    </xdr:to>
    <xdr:cxnSp macro="">
      <xdr:nvCxnSpPr>
        <xdr:cNvPr id="61" name="曲线连接符 60"/>
        <xdr:cNvCxnSpPr/>
      </xdr:nvCxnSpPr>
      <xdr:spPr>
        <a:xfrm rot="16200000" flipH="1">
          <a:off x="10525125" y="-1514475"/>
          <a:ext cx="3981450" cy="1062990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</xdr:colOff>
      <xdr:row>0</xdr:row>
      <xdr:rowOff>0</xdr:rowOff>
    </xdr:from>
    <xdr:to>
      <xdr:col>26</xdr:col>
      <xdr:colOff>1</xdr:colOff>
      <xdr:row>0</xdr:row>
      <xdr:rowOff>0</xdr:rowOff>
    </xdr:to>
    <xdr:cxnSp macro="">
      <xdr:nvCxnSpPr>
        <xdr:cNvPr id="76" name="曲线连接符 75"/>
        <xdr:cNvCxnSpPr/>
      </xdr:nvCxnSpPr>
      <xdr:spPr>
        <a:xfrm rot="16200000" flipH="1">
          <a:off x="13063538" y="-242888"/>
          <a:ext cx="1990725" cy="7543800"/>
        </a:xfrm>
        <a:prstGeom prst="curvedConnector4">
          <a:avLst>
            <a:gd name="adj1" fmla="val 45455"/>
            <a:gd name="adj2" fmla="val 10303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0</xdr:row>
      <xdr:rowOff>0</xdr:rowOff>
    </xdr:from>
    <xdr:to>
      <xdr:col>20</xdr:col>
      <xdr:colOff>1</xdr:colOff>
      <xdr:row>0</xdr:row>
      <xdr:rowOff>0</xdr:rowOff>
    </xdr:to>
    <xdr:cxnSp macro="">
      <xdr:nvCxnSpPr>
        <xdr:cNvPr id="77" name="曲线连接符 76"/>
        <xdr:cNvCxnSpPr/>
      </xdr:nvCxnSpPr>
      <xdr:spPr>
        <a:xfrm rot="16200000" flipH="1">
          <a:off x="6491288" y="-1976438"/>
          <a:ext cx="4162425" cy="10287000"/>
        </a:xfrm>
        <a:prstGeom prst="curvedConnector4">
          <a:avLst>
            <a:gd name="adj1" fmla="val 47826"/>
            <a:gd name="adj2" fmla="val 102222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342901</xdr:colOff>
      <xdr:row>0</xdr:row>
      <xdr:rowOff>0</xdr:rowOff>
    </xdr:from>
    <xdr:to>
      <xdr:col>32</xdr:col>
      <xdr:colOff>1</xdr:colOff>
      <xdr:row>0</xdr:row>
      <xdr:rowOff>0</xdr:rowOff>
    </xdr:to>
    <xdr:cxnSp macro="">
      <xdr:nvCxnSpPr>
        <xdr:cNvPr id="79" name="曲线连接符 78"/>
        <xdr:cNvCxnSpPr/>
      </xdr:nvCxnSpPr>
      <xdr:spPr>
        <a:xfrm rot="16200000" flipH="1">
          <a:off x="12492038" y="-3481388"/>
          <a:ext cx="4162425" cy="14744700"/>
        </a:xfrm>
        <a:prstGeom prst="curvedConnector4">
          <a:avLst>
            <a:gd name="adj1" fmla="val 47826"/>
            <a:gd name="adj2" fmla="val 10155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0</xdr:row>
      <xdr:rowOff>0</xdr:rowOff>
    </xdr:from>
    <xdr:to>
      <xdr:col>15</xdr:col>
      <xdr:colOff>1</xdr:colOff>
      <xdr:row>0</xdr:row>
      <xdr:rowOff>0</xdr:rowOff>
    </xdr:to>
    <xdr:cxnSp macro="">
      <xdr:nvCxnSpPr>
        <xdr:cNvPr id="95" name="曲线连接符 94"/>
        <xdr:cNvCxnSpPr/>
      </xdr:nvCxnSpPr>
      <xdr:spPr>
        <a:xfrm rot="16200000" flipH="1">
          <a:off x="4776788" y="-261938"/>
          <a:ext cx="4162425" cy="6858000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0</xdr:row>
      <xdr:rowOff>0</xdr:rowOff>
    </xdr:from>
    <xdr:to>
      <xdr:col>15</xdr:col>
      <xdr:colOff>1</xdr:colOff>
      <xdr:row>0</xdr:row>
      <xdr:rowOff>0</xdr:rowOff>
    </xdr:to>
    <xdr:cxnSp macro="">
      <xdr:nvCxnSpPr>
        <xdr:cNvPr id="113" name="曲线连接符 112"/>
        <xdr:cNvCxnSpPr/>
      </xdr:nvCxnSpPr>
      <xdr:spPr>
        <a:xfrm rot="16200000" flipH="1">
          <a:off x="4776788" y="-261938"/>
          <a:ext cx="4162425" cy="6858000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0</xdr:row>
      <xdr:rowOff>0</xdr:rowOff>
    </xdr:from>
    <xdr:to>
      <xdr:col>15</xdr:col>
      <xdr:colOff>1</xdr:colOff>
      <xdr:row>0</xdr:row>
      <xdr:rowOff>0</xdr:rowOff>
    </xdr:to>
    <xdr:cxnSp macro="">
      <xdr:nvCxnSpPr>
        <xdr:cNvPr id="131" name="曲线连接符 130"/>
        <xdr:cNvCxnSpPr/>
      </xdr:nvCxnSpPr>
      <xdr:spPr>
        <a:xfrm rot="16200000" flipH="1">
          <a:off x="4776788" y="-261938"/>
          <a:ext cx="4162425" cy="6858000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0</xdr:row>
      <xdr:rowOff>0</xdr:rowOff>
    </xdr:from>
    <xdr:to>
      <xdr:col>12</xdr:col>
      <xdr:colOff>1</xdr:colOff>
      <xdr:row>0</xdr:row>
      <xdr:rowOff>0</xdr:rowOff>
    </xdr:to>
    <xdr:cxnSp macro="">
      <xdr:nvCxnSpPr>
        <xdr:cNvPr id="145" name="曲线连接符 144"/>
        <xdr:cNvCxnSpPr/>
      </xdr:nvCxnSpPr>
      <xdr:spPr>
        <a:xfrm rot="16200000" flipH="1">
          <a:off x="5195888" y="-681038"/>
          <a:ext cx="1266825" cy="4800600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0</xdr:row>
      <xdr:rowOff>0</xdr:rowOff>
    </xdr:from>
    <xdr:to>
      <xdr:col>15</xdr:col>
      <xdr:colOff>1</xdr:colOff>
      <xdr:row>0</xdr:row>
      <xdr:rowOff>0</xdr:rowOff>
    </xdr:to>
    <xdr:cxnSp macro="">
      <xdr:nvCxnSpPr>
        <xdr:cNvPr id="149" name="曲线连接符 148"/>
        <xdr:cNvCxnSpPr/>
      </xdr:nvCxnSpPr>
      <xdr:spPr>
        <a:xfrm rot="16200000" flipH="1">
          <a:off x="4776788" y="-261938"/>
          <a:ext cx="4162425" cy="6858000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0</xdr:row>
      <xdr:rowOff>0</xdr:rowOff>
    </xdr:from>
    <xdr:to>
      <xdr:col>12</xdr:col>
      <xdr:colOff>1</xdr:colOff>
      <xdr:row>0</xdr:row>
      <xdr:rowOff>0</xdr:rowOff>
    </xdr:to>
    <xdr:cxnSp macro="">
      <xdr:nvCxnSpPr>
        <xdr:cNvPr id="163" name="曲线连接符 162"/>
        <xdr:cNvCxnSpPr/>
      </xdr:nvCxnSpPr>
      <xdr:spPr>
        <a:xfrm rot="16200000" flipH="1">
          <a:off x="5195888" y="-681038"/>
          <a:ext cx="1266825" cy="4800600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0</xdr:row>
      <xdr:rowOff>0</xdr:rowOff>
    </xdr:from>
    <xdr:to>
      <xdr:col>15</xdr:col>
      <xdr:colOff>1</xdr:colOff>
      <xdr:row>0</xdr:row>
      <xdr:rowOff>0</xdr:rowOff>
    </xdr:to>
    <xdr:cxnSp macro="">
      <xdr:nvCxnSpPr>
        <xdr:cNvPr id="167" name="曲线连接符 166"/>
        <xdr:cNvCxnSpPr/>
      </xdr:nvCxnSpPr>
      <xdr:spPr>
        <a:xfrm rot="16200000" flipH="1">
          <a:off x="4776788" y="-261938"/>
          <a:ext cx="4162425" cy="6858000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0</xdr:row>
      <xdr:rowOff>0</xdr:rowOff>
    </xdr:from>
    <xdr:to>
      <xdr:col>15</xdr:col>
      <xdr:colOff>1</xdr:colOff>
      <xdr:row>0</xdr:row>
      <xdr:rowOff>0</xdr:rowOff>
    </xdr:to>
    <xdr:cxnSp macro="">
      <xdr:nvCxnSpPr>
        <xdr:cNvPr id="185" name="曲线连接符 184"/>
        <xdr:cNvCxnSpPr/>
      </xdr:nvCxnSpPr>
      <xdr:spPr>
        <a:xfrm rot="16200000" flipH="1">
          <a:off x="4776788" y="-261938"/>
          <a:ext cx="4162425" cy="6858000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0</xdr:row>
      <xdr:rowOff>0</xdr:rowOff>
    </xdr:from>
    <xdr:to>
      <xdr:col>15</xdr:col>
      <xdr:colOff>1</xdr:colOff>
      <xdr:row>0</xdr:row>
      <xdr:rowOff>0</xdr:rowOff>
    </xdr:to>
    <xdr:cxnSp macro="">
      <xdr:nvCxnSpPr>
        <xdr:cNvPr id="203" name="曲线连接符 202"/>
        <xdr:cNvCxnSpPr/>
      </xdr:nvCxnSpPr>
      <xdr:spPr>
        <a:xfrm rot="16200000" flipH="1">
          <a:off x="4776788" y="-261938"/>
          <a:ext cx="4162425" cy="6858000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0</xdr:row>
      <xdr:rowOff>0</xdr:rowOff>
    </xdr:from>
    <xdr:to>
      <xdr:col>15</xdr:col>
      <xdr:colOff>1</xdr:colOff>
      <xdr:row>0</xdr:row>
      <xdr:rowOff>0</xdr:rowOff>
    </xdr:to>
    <xdr:cxnSp macro="">
      <xdr:nvCxnSpPr>
        <xdr:cNvPr id="221" name="曲线连接符 220"/>
        <xdr:cNvCxnSpPr/>
      </xdr:nvCxnSpPr>
      <xdr:spPr>
        <a:xfrm rot="16200000" flipH="1">
          <a:off x="4776788" y="-261938"/>
          <a:ext cx="4162425" cy="6858000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0</xdr:row>
      <xdr:rowOff>0</xdr:rowOff>
    </xdr:from>
    <xdr:to>
      <xdr:col>12</xdr:col>
      <xdr:colOff>1</xdr:colOff>
      <xdr:row>0</xdr:row>
      <xdr:rowOff>0</xdr:rowOff>
    </xdr:to>
    <xdr:cxnSp macro="">
      <xdr:nvCxnSpPr>
        <xdr:cNvPr id="235" name="曲线连接符 234"/>
        <xdr:cNvCxnSpPr/>
      </xdr:nvCxnSpPr>
      <xdr:spPr>
        <a:xfrm rot="16200000" flipH="1">
          <a:off x="5195888" y="-681038"/>
          <a:ext cx="1266825" cy="4800600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0</xdr:row>
      <xdr:rowOff>0</xdr:rowOff>
    </xdr:from>
    <xdr:to>
      <xdr:col>15</xdr:col>
      <xdr:colOff>1</xdr:colOff>
      <xdr:row>0</xdr:row>
      <xdr:rowOff>0</xdr:rowOff>
    </xdr:to>
    <xdr:cxnSp macro="">
      <xdr:nvCxnSpPr>
        <xdr:cNvPr id="239" name="曲线连接符 238"/>
        <xdr:cNvCxnSpPr/>
      </xdr:nvCxnSpPr>
      <xdr:spPr>
        <a:xfrm rot="16200000" flipH="1">
          <a:off x="4776788" y="-261938"/>
          <a:ext cx="4162425" cy="6858000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0</xdr:row>
      <xdr:rowOff>0</xdr:rowOff>
    </xdr:from>
    <xdr:to>
      <xdr:col>12</xdr:col>
      <xdr:colOff>1</xdr:colOff>
      <xdr:row>0</xdr:row>
      <xdr:rowOff>0</xdr:rowOff>
    </xdr:to>
    <xdr:cxnSp macro="">
      <xdr:nvCxnSpPr>
        <xdr:cNvPr id="253" name="曲线连接符 252"/>
        <xdr:cNvCxnSpPr/>
      </xdr:nvCxnSpPr>
      <xdr:spPr>
        <a:xfrm rot="16200000" flipH="1">
          <a:off x="5195888" y="-681038"/>
          <a:ext cx="1266825" cy="4800600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0</xdr:row>
      <xdr:rowOff>0</xdr:rowOff>
    </xdr:from>
    <xdr:to>
      <xdr:col>15</xdr:col>
      <xdr:colOff>1</xdr:colOff>
      <xdr:row>0</xdr:row>
      <xdr:rowOff>0</xdr:rowOff>
    </xdr:to>
    <xdr:cxnSp macro="">
      <xdr:nvCxnSpPr>
        <xdr:cNvPr id="257" name="曲线连接符 256"/>
        <xdr:cNvCxnSpPr/>
      </xdr:nvCxnSpPr>
      <xdr:spPr>
        <a:xfrm rot="16200000" flipH="1">
          <a:off x="4776788" y="-261938"/>
          <a:ext cx="4162425" cy="6858000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0</xdr:row>
      <xdr:rowOff>0</xdr:rowOff>
    </xdr:from>
    <xdr:to>
      <xdr:col>12</xdr:col>
      <xdr:colOff>1</xdr:colOff>
      <xdr:row>0</xdr:row>
      <xdr:rowOff>0</xdr:rowOff>
    </xdr:to>
    <xdr:cxnSp macro="">
      <xdr:nvCxnSpPr>
        <xdr:cNvPr id="271" name="曲线连接符 270"/>
        <xdr:cNvCxnSpPr/>
      </xdr:nvCxnSpPr>
      <xdr:spPr>
        <a:xfrm rot="16200000" flipH="1">
          <a:off x="5195888" y="-681038"/>
          <a:ext cx="1266825" cy="4800600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0</xdr:row>
      <xdr:rowOff>0</xdr:rowOff>
    </xdr:from>
    <xdr:to>
      <xdr:col>15</xdr:col>
      <xdr:colOff>1</xdr:colOff>
      <xdr:row>0</xdr:row>
      <xdr:rowOff>0</xdr:rowOff>
    </xdr:to>
    <xdr:cxnSp macro="">
      <xdr:nvCxnSpPr>
        <xdr:cNvPr id="275" name="曲线连接符 274"/>
        <xdr:cNvCxnSpPr/>
      </xdr:nvCxnSpPr>
      <xdr:spPr>
        <a:xfrm rot="16200000" flipH="1">
          <a:off x="4776788" y="-261938"/>
          <a:ext cx="4162425" cy="6858000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0</xdr:row>
      <xdr:rowOff>0</xdr:rowOff>
    </xdr:from>
    <xdr:to>
      <xdr:col>15</xdr:col>
      <xdr:colOff>1</xdr:colOff>
      <xdr:row>0</xdr:row>
      <xdr:rowOff>0</xdr:rowOff>
    </xdr:to>
    <xdr:cxnSp macro="">
      <xdr:nvCxnSpPr>
        <xdr:cNvPr id="293" name="曲线连接符 292"/>
        <xdr:cNvCxnSpPr/>
      </xdr:nvCxnSpPr>
      <xdr:spPr>
        <a:xfrm rot="16200000" flipH="1">
          <a:off x="4776788" y="-261938"/>
          <a:ext cx="4162425" cy="6858000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0</xdr:row>
      <xdr:rowOff>0</xdr:rowOff>
    </xdr:from>
    <xdr:to>
      <xdr:col>15</xdr:col>
      <xdr:colOff>1</xdr:colOff>
      <xdr:row>0</xdr:row>
      <xdr:rowOff>0</xdr:rowOff>
    </xdr:to>
    <xdr:cxnSp macro="">
      <xdr:nvCxnSpPr>
        <xdr:cNvPr id="311" name="曲线连接符 310"/>
        <xdr:cNvCxnSpPr/>
      </xdr:nvCxnSpPr>
      <xdr:spPr>
        <a:xfrm rot="16200000" flipH="1">
          <a:off x="4776788" y="-261938"/>
          <a:ext cx="4162425" cy="6858000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0</xdr:row>
      <xdr:rowOff>0</xdr:rowOff>
    </xdr:from>
    <xdr:to>
      <xdr:col>15</xdr:col>
      <xdr:colOff>1</xdr:colOff>
      <xdr:row>0</xdr:row>
      <xdr:rowOff>0</xdr:rowOff>
    </xdr:to>
    <xdr:cxnSp macro="">
      <xdr:nvCxnSpPr>
        <xdr:cNvPr id="329" name="曲线连接符 328"/>
        <xdr:cNvCxnSpPr/>
      </xdr:nvCxnSpPr>
      <xdr:spPr>
        <a:xfrm rot="16200000" flipH="1">
          <a:off x="4776788" y="-261938"/>
          <a:ext cx="4162425" cy="6858000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2" name="圆角矩形 291"/>
        <xdr:cNvSpPr/>
      </xdr:nvSpPr>
      <xdr:spPr>
        <a:xfrm>
          <a:off x="0" y="1042416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4" name="圆角矩形 293"/>
        <xdr:cNvSpPr/>
      </xdr:nvSpPr>
      <xdr:spPr>
        <a:xfrm>
          <a:off x="0" y="1049655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0" name="圆角矩形 299"/>
        <xdr:cNvSpPr/>
      </xdr:nvSpPr>
      <xdr:spPr>
        <a:xfrm>
          <a:off x="0" y="1093089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SR.Modem.01.07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1" name="圆角矩形 300"/>
        <xdr:cNvSpPr/>
      </xdr:nvSpPr>
      <xdr:spPr>
        <a:xfrm>
          <a:off x="0" y="1100328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SR.Modem.01.07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4" name="圆角矩形 303"/>
        <xdr:cNvSpPr/>
      </xdr:nvSpPr>
      <xdr:spPr>
        <a:xfrm>
          <a:off x="0" y="1122045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7" name="圆角矩形 306"/>
        <xdr:cNvSpPr/>
      </xdr:nvSpPr>
      <xdr:spPr>
        <a:xfrm>
          <a:off x="0" y="1143762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SR.Modem.03.01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0" name="圆角矩形 109"/>
        <xdr:cNvSpPr/>
      </xdr:nvSpPr>
      <xdr:spPr>
        <a:xfrm>
          <a:off x="0" y="1331976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1" name="圆角矩形 110"/>
        <xdr:cNvSpPr/>
      </xdr:nvSpPr>
      <xdr:spPr>
        <a:xfrm>
          <a:off x="0" y="1339215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SR.Go.0012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2" name="圆角矩形 121"/>
        <xdr:cNvSpPr/>
      </xdr:nvSpPr>
      <xdr:spPr>
        <a:xfrm>
          <a:off x="0" y="1411605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SR.Go.0021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4" name="圆角矩形 123"/>
        <xdr:cNvSpPr/>
      </xdr:nvSpPr>
      <xdr:spPr>
        <a:xfrm>
          <a:off x="0" y="1426083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SR.Go.0021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6" name="圆角矩形 125"/>
        <xdr:cNvSpPr/>
      </xdr:nvSpPr>
      <xdr:spPr>
        <a:xfrm>
          <a:off x="0" y="1440561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SR.Go.0022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4" name="圆角矩形 323"/>
        <xdr:cNvSpPr/>
      </xdr:nvSpPr>
      <xdr:spPr>
        <a:xfrm>
          <a:off x="0" y="1483995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SR.Go.0023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98" name="圆角矩形 397"/>
        <xdr:cNvSpPr/>
      </xdr:nvSpPr>
      <xdr:spPr>
        <a:xfrm>
          <a:off x="0" y="987552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99" name="圆角矩形 398"/>
        <xdr:cNvSpPr/>
      </xdr:nvSpPr>
      <xdr:spPr>
        <a:xfrm>
          <a:off x="0" y="994410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05" name="圆角矩形 404"/>
        <xdr:cNvSpPr/>
      </xdr:nvSpPr>
      <xdr:spPr>
        <a:xfrm>
          <a:off x="0" y="1035558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SR.Modem.01.07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06" name="圆角矩形 405"/>
        <xdr:cNvSpPr/>
      </xdr:nvSpPr>
      <xdr:spPr>
        <a:xfrm>
          <a:off x="0" y="1042416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SR.Modem.01.07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09" name="圆角矩形 408"/>
        <xdr:cNvSpPr/>
      </xdr:nvSpPr>
      <xdr:spPr>
        <a:xfrm>
          <a:off x="0" y="1062990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12" name="圆角矩形 411"/>
        <xdr:cNvSpPr/>
      </xdr:nvSpPr>
      <xdr:spPr>
        <a:xfrm>
          <a:off x="0" y="1083564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SR.Modem.03.01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38" name="圆角矩形 437"/>
        <xdr:cNvSpPr/>
      </xdr:nvSpPr>
      <xdr:spPr>
        <a:xfrm>
          <a:off x="0" y="1261872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39" name="圆角矩形 438"/>
        <xdr:cNvSpPr/>
      </xdr:nvSpPr>
      <xdr:spPr>
        <a:xfrm>
          <a:off x="0" y="1268730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SR.Go.0012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9" name="圆角矩形 448"/>
        <xdr:cNvSpPr/>
      </xdr:nvSpPr>
      <xdr:spPr>
        <a:xfrm>
          <a:off x="0" y="1337310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SR.Go.0021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51" name="圆角矩形 450"/>
        <xdr:cNvSpPr/>
      </xdr:nvSpPr>
      <xdr:spPr>
        <a:xfrm>
          <a:off x="0" y="1351026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SR.Go.0021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53" name="圆角矩形 452"/>
        <xdr:cNvSpPr/>
      </xdr:nvSpPr>
      <xdr:spPr>
        <a:xfrm>
          <a:off x="0" y="1364742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SR.Go.0022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59" name="圆角矩形 458"/>
        <xdr:cNvSpPr/>
      </xdr:nvSpPr>
      <xdr:spPr>
        <a:xfrm>
          <a:off x="0" y="1405890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SR.Go.0023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4" name="圆角矩形 223"/>
        <xdr:cNvSpPr/>
      </xdr:nvSpPr>
      <xdr:spPr>
        <a:xfrm>
          <a:off x="0" y="846963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8" name="圆角矩形 227"/>
        <xdr:cNvSpPr/>
      </xdr:nvSpPr>
      <xdr:spPr>
        <a:xfrm>
          <a:off x="0" y="875919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SR.Modem.01.07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0" name="圆角矩形 229"/>
        <xdr:cNvSpPr/>
      </xdr:nvSpPr>
      <xdr:spPr>
        <a:xfrm>
          <a:off x="0" y="890397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4" name="圆角矩形 253"/>
        <xdr:cNvSpPr/>
      </xdr:nvSpPr>
      <xdr:spPr>
        <a:xfrm>
          <a:off x="0" y="1042416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5" name="圆角矩形 254"/>
        <xdr:cNvSpPr/>
      </xdr:nvSpPr>
      <xdr:spPr>
        <a:xfrm>
          <a:off x="0" y="1049655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SR.Go.0012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1" name="圆角矩形 320"/>
        <xdr:cNvSpPr/>
      </xdr:nvSpPr>
      <xdr:spPr>
        <a:xfrm>
          <a:off x="0" y="846963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6" name="圆角矩形 325"/>
        <xdr:cNvSpPr/>
      </xdr:nvSpPr>
      <xdr:spPr>
        <a:xfrm>
          <a:off x="0" y="875919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SR.Modem.01.07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8" name="圆角矩形 327"/>
        <xdr:cNvSpPr/>
      </xdr:nvSpPr>
      <xdr:spPr>
        <a:xfrm>
          <a:off x="0" y="890397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0" name="圆角矩形 349"/>
        <xdr:cNvSpPr/>
      </xdr:nvSpPr>
      <xdr:spPr>
        <a:xfrm>
          <a:off x="0" y="1042416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1" name="圆角矩形 350"/>
        <xdr:cNvSpPr/>
      </xdr:nvSpPr>
      <xdr:spPr>
        <a:xfrm>
          <a:off x="0" y="1049655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SR.Go.0012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29" name="圆角矩形 528"/>
        <xdr:cNvSpPr/>
      </xdr:nvSpPr>
      <xdr:spPr>
        <a:xfrm>
          <a:off x="0" y="846963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33" name="圆角矩形 532"/>
        <xdr:cNvSpPr/>
      </xdr:nvSpPr>
      <xdr:spPr>
        <a:xfrm>
          <a:off x="0" y="875919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SR.Modem.01.07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35" name="圆角矩形 534"/>
        <xdr:cNvSpPr/>
      </xdr:nvSpPr>
      <xdr:spPr>
        <a:xfrm>
          <a:off x="0" y="890397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56" name="圆角矩形 555"/>
        <xdr:cNvSpPr/>
      </xdr:nvSpPr>
      <xdr:spPr>
        <a:xfrm>
          <a:off x="0" y="1042416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57" name="圆角矩形 556"/>
        <xdr:cNvSpPr/>
      </xdr:nvSpPr>
      <xdr:spPr>
        <a:xfrm>
          <a:off x="0" y="1049655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SR.Go.0012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91" name="圆角矩形 690"/>
        <xdr:cNvSpPr/>
      </xdr:nvSpPr>
      <xdr:spPr>
        <a:xfrm>
          <a:off x="0" y="846963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95" name="圆角矩形 694"/>
        <xdr:cNvSpPr/>
      </xdr:nvSpPr>
      <xdr:spPr>
        <a:xfrm>
          <a:off x="0" y="875919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SR.Modem.01.07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97" name="圆角矩形 696"/>
        <xdr:cNvSpPr/>
      </xdr:nvSpPr>
      <xdr:spPr>
        <a:xfrm>
          <a:off x="0" y="890397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18" name="圆角矩形 717"/>
        <xdr:cNvSpPr/>
      </xdr:nvSpPr>
      <xdr:spPr>
        <a:xfrm>
          <a:off x="0" y="1042416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19" name="圆角矩形 718"/>
        <xdr:cNvSpPr/>
      </xdr:nvSpPr>
      <xdr:spPr>
        <a:xfrm>
          <a:off x="0" y="1049655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SR.Go.0012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55" name="圆角矩形 854"/>
        <xdr:cNvSpPr/>
      </xdr:nvSpPr>
      <xdr:spPr>
        <a:xfrm>
          <a:off x="0" y="846963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59" name="圆角矩形 858"/>
        <xdr:cNvSpPr/>
      </xdr:nvSpPr>
      <xdr:spPr>
        <a:xfrm>
          <a:off x="0" y="875919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SR.Modem.01.07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61" name="圆角矩形 860"/>
        <xdr:cNvSpPr/>
      </xdr:nvSpPr>
      <xdr:spPr>
        <a:xfrm>
          <a:off x="0" y="890397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82" name="圆角矩形 881"/>
        <xdr:cNvSpPr/>
      </xdr:nvSpPr>
      <xdr:spPr>
        <a:xfrm>
          <a:off x="0" y="1042416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83" name="圆角矩形 882"/>
        <xdr:cNvSpPr/>
      </xdr:nvSpPr>
      <xdr:spPr>
        <a:xfrm>
          <a:off x="0" y="1049655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SR.Go.0012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19" name="圆角矩形 1018"/>
        <xdr:cNvSpPr/>
      </xdr:nvSpPr>
      <xdr:spPr>
        <a:xfrm>
          <a:off x="0" y="846963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23" name="圆角矩形 1022"/>
        <xdr:cNvSpPr/>
      </xdr:nvSpPr>
      <xdr:spPr>
        <a:xfrm>
          <a:off x="0" y="875919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SR.Modem.01.07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25" name="圆角矩形 1024"/>
        <xdr:cNvSpPr/>
      </xdr:nvSpPr>
      <xdr:spPr>
        <a:xfrm>
          <a:off x="0" y="890397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46" name="圆角矩形 1045"/>
        <xdr:cNvSpPr/>
      </xdr:nvSpPr>
      <xdr:spPr>
        <a:xfrm>
          <a:off x="0" y="1042416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47" name="圆角矩形 1046"/>
        <xdr:cNvSpPr/>
      </xdr:nvSpPr>
      <xdr:spPr>
        <a:xfrm>
          <a:off x="0" y="1049655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SR.Go.0012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83" name="圆角矩形 1182"/>
        <xdr:cNvSpPr/>
      </xdr:nvSpPr>
      <xdr:spPr>
        <a:xfrm>
          <a:off x="0" y="846963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87" name="圆角矩形 1186"/>
        <xdr:cNvSpPr/>
      </xdr:nvSpPr>
      <xdr:spPr>
        <a:xfrm>
          <a:off x="0" y="875919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SR.Modem.01.07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89" name="圆角矩形 1188"/>
        <xdr:cNvSpPr/>
      </xdr:nvSpPr>
      <xdr:spPr>
        <a:xfrm>
          <a:off x="0" y="890397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10" name="圆角矩形 1209"/>
        <xdr:cNvSpPr/>
      </xdr:nvSpPr>
      <xdr:spPr>
        <a:xfrm>
          <a:off x="0" y="1042416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11" name="圆角矩形 1210"/>
        <xdr:cNvSpPr/>
      </xdr:nvSpPr>
      <xdr:spPr>
        <a:xfrm>
          <a:off x="0" y="1049655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SR.Go.0012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57" name="圆角矩形 1356"/>
        <xdr:cNvSpPr/>
      </xdr:nvSpPr>
      <xdr:spPr>
        <a:xfrm>
          <a:off x="0" y="846963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61" name="圆角矩形 1360"/>
        <xdr:cNvSpPr/>
      </xdr:nvSpPr>
      <xdr:spPr>
        <a:xfrm>
          <a:off x="0" y="875919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SR.Modem.01.07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63" name="圆角矩形 1362"/>
        <xdr:cNvSpPr/>
      </xdr:nvSpPr>
      <xdr:spPr>
        <a:xfrm>
          <a:off x="0" y="890397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84" name="圆角矩形 1383"/>
        <xdr:cNvSpPr/>
      </xdr:nvSpPr>
      <xdr:spPr>
        <a:xfrm>
          <a:off x="0" y="1042416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85" name="圆角矩形 1384"/>
        <xdr:cNvSpPr/>
      </xdr:nvSpPr>
      <xdr:spPr>
        <a:xfrm>
          <a:off x="0" y="1049655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SR.Go.0012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21" name="圆角矩形 1520"/>
        <xdr:cNvSpPr/>
      </xdr:nvSpPr>
      <xdr:spPr>
        <a:xfrm>
          <a:off x="0" y="846963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25" name="圆角矩形 1524"/>
        <xdr:cNvSpPr/>
      </xdr:nvSpPr>
      <xdr:spPr>
        <a:xfrm>
          <a:off x="0" y="875919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SR.Modem.01.07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27" name="圆角矩形 1526"/>
        <xdr:cNvSpPr/>
      </xdr:nvSpPr>
      <xdr:spPr>
        <a:xfrm>
          <a:off x="0" y="890397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48" name="圆角矩形 1547"/>
        <xdr:cNvSpPr/>
      </xdr:nvSpPr>
      <xdr:spPr>
        <a:xfrm>
          <a:off x="0" y="1042416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49" name="圆角矩形 1548"/>
        <xdr:cNvSpPr/>
      </xdr:nvSpPr>
      <xdr:spPr>
        <a:xfrm>
          <a:off x="0" y="1049655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SR.Go.0012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85" name="圆角矩形 1684"/>
        <xdr:cNvSpPr/>
      </xdr:nvSpPr>
      <xdr:spPr>
        <a:xfrm>
          <a:off x="0" y="846963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89" name="圆角矩形 1688"/>
        <xdr:cNvSpPr/>
      </xdr:nvSpPr>
      <xdr:spPr>
        <a:xfrm>
          <a:off x="0" y="875919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SR.Modem.01.07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91" name="圆角矩形 1690"/>
        <xdr:cNvSpPr/>
      </xdr:nvSpPr>
      <xdr:spPr>
        <a:xfrm>
          <a:off x="0" y="890397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12" name="圆角矩形 1711"/>
        <xdr:cNvSpPr/>
      </xdr:nvSpPr>
      <xdr:spPr>
        <a:xfrm>
          <a:off x="0" y="1042416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13" name="圆角矩形 1712"/>
        <xdr:cNvSpPr/>
      </xdr:nvSpPr>
      <xdr:spPr>
        <a:xfrm>
          <a:off x="0" y="1049655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SR.Go.0012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49" name="圆角矩形 1848"/>
        <xdr:cNvSpPr/>
      </xdr:nvSpPr>
      <xdr:spPr>
        <a:xfrm>
          <a:off x="0" y="846963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53" name="圆角矩形 1852"/>
        <xdr:cNvSpPr/>
      </xdr:nvSpPr>
      <xdr:spPr>
        <a:xfrm>
          <a:off x="0" y="875919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SR.Modem.01.07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55" name="圆角矩形 1854"/>
        <xdr:cNvSpPr/>
      </xdr:nvSpPr>
      <xdr:spPr>
        <a:xfrm>
          <a:off x="0" y="890397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76" name="圆角矩形 1875"/>
        <xdr:cNvSpPr/>
      </xdr:nvSpPr>
      <xdr:spPr>
        <a:xfrm>
          <a:off x="0" y="1042416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77" name="圆角矩形 1876"/>
        <xdr:cNvSpPr/>
      </xdr:nvSpPr>
      <xdr:spPr>
        <a:xfrm>
          <a:off x="0" y="1049655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SR.Go.0012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13" name="圆角矩形 2012"/>
        <xdr:cNvSpPr/>
      </xdr:nvSpPr>
      <xdr:spPr>
        <a:xfrm>
          <a:off x="0" y="846963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17" name="圆角矩形 2016"/>
        <xdr:cNvSpPr/>
      </xdr:nvSpPr>
      <xdr:spPr>
        <a:xfrm>
          <a:off x="0" y="875919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SR.Modem.01.07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19" name="圆角矩形 2018"/>
        <xdr:cNvSpPr/>
      </xdr:nvSpPr>
      <xdr:spPr>
        <a:xfrm>
          <a:off x="0" y="890397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40" name="圆角矩形 2039"/>
        <xdr:cNvSpPr/>
      </xdr:nvSpPr>
      <xdr:spPr>
        <a:xfrm>
          <a:off x="0" y="1042416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41" name="圆角矩形 2040"/>
        <xdr:cNvSpPr/>
      </xdr:nvSpPr>
      <xdr:spPr>
        <a:xfrm>
          <a:off x="0" y="1049655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SR.Go.0012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77" name="圆角矩形 2176"/>
        <xdr:cNvSpPr/>
      </xdr:nvSpPr>
      <xdr:spPr>
        <a:xfrm>
          <a:off x="0" y="846963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81" name="圆角矩形 2180"/>
        <xdr:cNvSpPr/>
      </xdr:nvSpPr>
      <xdr:spPr>
        <a:xfrm>
          <a:off x="0" y="875919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SR.Modem.01.07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83" name="圆角矩形 2182"/>
        <xdr:cNvSpPr/>
      </xdr:nvSpPr>
      <xdr:spPr>
        <a:xfrm>
          <a:off x="0" y="890397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04" name="圆角矩形 2203"/>
        <xdr:cNvSpPr/>
      </xdr:nvSpPr>
      <xdr:spPr>
        <a:xfrm>
          <a:off x="0" y="1042416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05" name="圆角矩形 2204"/>
        <xdr:cNvSpPr/>
      </xdr:nvSpPr>
      <xdr:spPr>
        <a:xfrm>
          <a:off x="0" y="1049655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SR.Go.0012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41" name="圆角矩形 2340"/>
        <xdr:cNvSpPr/>
      </xdr:nvSpPr>
      <xdr:spPr>
        <a:xfrm>
          <a:off x="0" y="846963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45" name="圆角矩形 2344"/>
        <xdr:cNvSpPr/>
      </xdr:nvSpPr>
      <xdr:spPr>
        <a:xfrm>
          <a:off x="0" y="875919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SR.Modem.01.07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47" name="圆角矩形 2346"/>
        <xdr:cNvSpPr/>
      </xdr:nvSpPr>
      <xdr:spPr>
        <a:xfrm>
          <a:off x="0" y="890397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68" name="圆角矩形 2367"/>
        <xdr:cNvSpPr/>
      </xdr:nvSpPr>
      <xdr:spPr>
        <a:xfrm>
          <a:off x="0" y="1042416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69" name="圆角矩形 2368"/>
        <xdr:cNvSpPr/>
      </xdr:nvSpPr>
      <xdr:spPr>
        <a:xfrm>
          <a:off x="0" y="1049655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SR.Go.0012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05" name="圆角矩形 2504"/>
        <xdr:cNvSpPr/>
      </xdr:nvSpPr>
      <xdr:spPr>
        <a:xfrm>
          <a:off x="0" y="846963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09" name="圆角矩形 2508"/>
        <xdr:cNvSpPr/>
      </xdr:nvSpPr>
      <xdr:spPr>
        <a:xfrm>
          <a:off x="0" y="875919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SR.Modem.01.07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11" name="圆角矩形 2510"/>
        <xdr:cNvSpPr/>
      </xdr:nvSpPr>
      <xdr:spPr>
        <a:xfrm>
          <a:off x="0" y="890397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32" name="圆角矩形 2531"/>
        <xdr:cNvSpPr/>
      </xdr:nvSpPr>
      <xdr:spPr>
        <a:xfrm>
          <a:off x="0" y="1042416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33" name="圆角矩形 2532"/>
        <xdr:cNvSpPr/>
      </xdr:nvSpPr>
      <xdr:spPr>
        <a:xfrm>
          <a:off x="0" y="1049655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SR.Go.0012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69" name="圆角矩形 2668"/>
        <xdr:cNvSpPr/>
      </xdr:nvSpPr>
      <xdr:spPr>
        <a:xfrm>
          <a:off x="0" y="846963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73" name="圆角矩形 2672"/>
        <xdr:cNvSpPr/>
      </xdr:nvSpPr>
      <xdr:spPr>
        <a:xfrm>
          <a:off x="0" y="875919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SR.Modem.01.07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75" name="圆角矩形 2674"/>
        <xdr:cNvSpPr/>
      </xdr:nvSpPr>
      <xdr:spPr>
        <a:xfrm>
          <a:off x="0" y="890397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96" name="圆角矩形 2695"/>
        <xdr:cNvSpPr/>
      </xdr:nvSpPr>
      <xdr:spPr>
        <a:xfrm>
          <a:off x="0" y="1042416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97" name="圆角矩形 2696"/>
        <xdr:cNvSpPr/>
      </xdr:nvSpPr>
      <xdr:spPr>
        <a:xfrm>
          <a:off x="0" y="104965500"/>
          <a:ext cx="0" cy="3619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SR.Go.0012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圆角矩形 19"/>
        <xdr:cNvSpPr/>
      </xdr:nvSpPr>
      <xdr:spPr>
        <a:xfrm>
          <a:off x="0" y="130302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圆角矩形 20"/>
        <xdr:cNvSpPr/>
      </xdr:nvSpPr>
      <xdr:spPr>
        <a:xfrm>
          <a:off x="0" y="137160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SR.Go.0012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07" name="圆角矩形 1406"/>
        <xdr:cNvSpPr/>
      </xdr:nvSpPr>
      <xdr:spPr>
        <a:xfrm>
          <a:off x="0" y="404622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5" name="圆角矩形 64"/>
        <xdr:cNvSpPr/>
      </xdr:nvSpPr>
      <xdr:spPr>
        <a:xfrm>
          <a:off x="0" y="582930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SR.Modem.01.07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6" name="圆角矩形 65"/>
        <xdr:cNvSpPr/>
      </xdr:nvSpPr>
      <xdr:spPr>
        <a:xfrm>
          <a:off x="0" y="589788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28" name="圆角矩形 1527"/>
        <xdr:cNvSpPr/>
      </xdr:nvSpPr>
      <xdr:spPr>
        <a:xfrm>
          <a:off x="0" y="130302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29" name="圆角矩形 1528"/>
        <xdr:cNvSpPr/>
      </xdr:nvSpPr>
      <xdr:spPr>
        <a:xfrm>
          <a:off x="0" y="137160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SR.Go.0012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39" name="圆角矩形 1538"/>
        <xdr:cNvSpPr/>
      </xdr:nvSpPr>
      <xdr:spPr>
        <a:xfrm>
          <a:off x="0" y="404622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67" name="圆角矩形 1566"/>
        <xdr:cNvSpPr/>
      </xdr:nvSpPr>
      <xdr:spPr>
        <a:xfrm>
          <a:off x="0" y="582930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SR.Modem.01.07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2" name="圆角矩形 191"/>
        <xdr:cNvSpPr/>
      </xdr:nvSpPr>
      <xdr:spPr>
        <a:xfrm>
          <a:off x="0" y="589788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圆角矩形 2"/>
        <xdr:cNvSpPr/>
      </xdr:nvSpPr>
      <xdr:spPr>
        <a:xfrm>
          <a:off x="0" y="13716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SR.GMS.0044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圆角矩形 11"/>
        <xdr:cNvSpPr/>
      </xdr:nvSpPr>
      <xdr:spPr>
        <a:xfrm>
          <a:off x="0" y="75438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圆角矩形 12"/>
        <xdr:cNvSpPr/>
      </xdr:nvSpPr>
      <xdr:spPr>
        <a:xfrm>
          <a:off x="0" y="82296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SR.Go.0022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圆角矩形 13"/>
        <xdr:cNvSpPr/>
      </xdr:nvSpPr>
      <xdr:spPr>
        <a:xfrm>
          <a:off x="0" y="89154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SR.Go.0023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圆角矩形 17"/>
        <xdr:cNvSpPr/>
      </xdr:nvSpPr>
      <xdr:spPr>
        <a:xfrm>
          <a:off x="0" y="116586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SR.GMS.0050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圆角矩形 18"/>
        <xdr:cNvSpPr/>
      </xdr:nvSpPr>
      <xdr:spPr>
        <a:xfrm>
          <a:off x="0" y="123444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SR.GMS.0038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圆角矩形 24"/>
        <xdr:cNvSpPr/>
      </xdr:nvSpPr>
      <xdr:spPr>
        <a:xfrm>
          <a:off x="0" y="150876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圆角矩形 26"/>
        <xdr:cNvSpPr/>
      </xdr:nvSpPr>
      <xdr:spPr>
        <a:xfrm>
          <a:off x="0" y="164592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SR.CDD.0011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圆角矩形 27"/>
        <xdr:cNvSpPr/>
      </xdr:nvSpPr>
      <xdr:spPr>
        <a:xfrm>
          <a:off x="0" y="171450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SR.CDD.0029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圆角矩形 28"/>
        <xdr:cNvSpPr/>
      </xdr:nvSpPr>
      <xdr:spPr>
        <a:xfrm>
          <a:off x="0" y="178308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SR.CDD.0045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圆角矩形 29"/>
        <xdr:cNvSpPr/>
      </xdr:nvSpPr>
      <xdr:spPr>
        <a:xfrm>
          <a:off x="0" y="185166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SR.Modem.01.07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76" name="圆角矩形 1375"/>
        <xdr:cNvSpPr/>
      </xdr:nvSpPr>
      <xdr:spPr>
        <a:xfrm>
          <a:off x="0" y="192024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88" name="圆角矩形 1387"/>
        <xdr:cNvSpPr/>
      </xdr:nvSpPr>
      <xdr:spPr>
        <a:xfrm>
          <a:off x="0" y="260604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SR.CDD.0036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89" name="圆角矩形 1388"/>
        <xdr:cNvSpPr/>
      </xdr:nvSpPr>
      <xdr:spPr>
        <a:xfrm>
          <a:off x="0" y="267462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SR.GMS.0018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03" name="圆角矩形 1402"/>
        <xdr:cNvSpPr/>
      </xdr:nvSpPr>
      <xdr:spPr>
        <a:xfrm>
          <a:off x="0" y="13716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SR.GMS.0044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8" name="圆角矩形 37"/>
        <xdr:cNvSpPr/>
      </xdr:nvSpPr>
      <xdr:spPr>
        <a:xfrm>
          <a:off x="0" y="75438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9" name="圆角矩形 38"/>
        <xdr:cNvSpPr/>
      </xdr:nvSpPr>
      <xdr:spPr>
        <a:xfrm>
          <a:off x="0" y="82296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SR.Go.0022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0" name="圆角矩形 39"/>
        <xdr:cNvSpPr/>
      </xdr:nvSpPr>
      <xdr:spPr>
        <a:xfrm>
          <a:off x="0" y="89154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SR.Go.0023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6" name="圆角矩形 45"/>
        <xdr:cNvSpPr/>
      </xdr:nvSpPr>
      <xdr:spPr>
        <a:xfrm>
          <a:off x="0" y="116586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SR.GMS.0050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7" name="圆角矩形 46"/>
        <xdr:cNvSpPr/>
      </xdr:nvSpPr>
      <xdr:spPr>
        <a:xfrm>
          <a:off x="0" y="123444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SR.GMS.0038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1" name="圆角矩形 50"/>
        <xdr:cNvSpPr/>
      </xdr:nvSpPr>
      <xdr:spPr>
        <a:xfrm>
          <a:off x="0" y="150876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3" name="圆角矩形 52"/>
        <xdr:cNvSpPr/>
      </xdr:nvSpPr>
      <xdr:spPr>
        <a:xfrm>
          <a:off x="0" y="164592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SR.CDD.0011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7" name="圆角矩形 56"/>
        <xdr:cNvSpPr/>
      </xdr:nvSpPr>
      <xdr:spPr>
        <a:xfrm>
          <a:off x="0" y="171450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SR.CDD.0029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8" name="圆角矩形 57"/>
        <xdr:cNvSpPr/>
      </xdr:nvSpPr>
      <xdr:spPr>
        <a:xfrm>
          <a:off x="0" y="178308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SR.CDD.0045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0" name="圆角矩形 59"/>
        <xdr:cNvSpPr/>
      </xdr:nvSpPr>
      <xdr:spPr>
        <a:xfrm>
          <a:off x="0" y="185166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SR.Modem.01.07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2" name="圆角矩形 61"/>
        <xdr:cNvSpPr/>
      </xdr:nvSpPr>
      <xdr:spPr>
        <a:xfrm>
          <a:off x="0" y="192024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4" name="圆角矩形 73"/>
        <xdr:cNvSpPr/>
      </xdr:nvSpPr>
      <xdr:spPr>
        <a:xfrm>
          <a:off x="0" y="260604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SR.CDD.0036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5" name="圆角矩形 74"/>
        <xdr:cNvSpPr/>
      </xdr:nvSpPr>
      <xdr:spPr>
        <a:xfrm>
          <a:off x="0" y="267462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SR.GMS.0018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3" name="圆角矩形 92"/>
        <xdr:cNvSpPr/>
      </xdr:nvSpPr>
      <xdr:spPr>
        <a:xfrm>
          <a:off x="0" y="20574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SR.CDD.0011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8" name="圆角矩形 97"/>
        <xdr:cNvSpPr/>
      </xdr:nvSpPr>
      <xdr:spPr>
        <a:xfrm>
          <a:off x="0" y="48006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SR.CDD.0029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1" name="圆角矩形 100"/>
        <xdr:cNvSpPr/>
      </xdr:nvSpPr>
      <xdr:spPr>
        <a:xfrm>
          <a:off x="0" y="68580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SR.CDD.0036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2" name="圆角矩形 101"/>
        <xdr:cNvSpPr/>
      </xdr:nvSpPr>
      <xdr:spPr>
        <a:xfrm>
          <a:off x="0" y="75438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SR.CDD.0045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6" name="圆角矩形 115"/>
        <xdr:cNvSpPr/>
      </xdr:nvSpPr>
      <xdr:spPr>
        <a:xfrm>
          <a:off x="0" y="150876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SR.GMS.0018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8" name="圆角矩形 127"/>
        <xdr:cNvSpPr/>
      </xdr:nvSpPr>
      <xdr:spPr>
        <a:xfrm>
          <a:off x="0" y="212598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SR.GMS.0038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9" name="圆角矩形 128"/>
        <xdr:cNvSpPr/>
      </xdr:nvSpPr>
      <xdr:spPr>
        <a:xfrm>
          <a:off x="0" y="219456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SR.GMS.0044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2" name="圆角矩形 131"/>
        <xdr:cNvSpPr/>
      </xdr:nvSpPr>
      <xdr:spPr>
        <a:xfrm>
          <a:off x="0" y="233172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SR.GMS.0050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4" name="圆角矩形 133"/>
        <xdr:cNvSpPr/>
      </xdr:nvSpPr>
      <xdr:spPr>
        <a:xfrm>
          <a:off x="0" y="246888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7" name="圆角矩形 136"/>
        <xdr:cNvSpPr/>
      </xdr:nvSpPr>
      <xdr:spPr>
        <a:xfrm>
          <a:off x="0" y="267462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SR.Go.0022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8" name="圆角矩形 137"/>
        <xdr:cNvSpPr/>
      </xdr:nvSpPr>
      <xdr:spPr>
        <a:xfrm>
          <a:off x="0" y="274320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SR.Go.0023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0" name="圆角矩形 139"/>
        <xdr:cNvSpPr/>
      </xdr:nvSpPr>
      <xdr:spPr>
        <a:xfrm>
          <a:off x="0" y="288036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SR.Modem.01.03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1" name="圆角矩形 140"/>
        <xdr:cNvSpPr/>
      </xdr:nvSpPr>
      <xdr:spPr>
        <a:xfrm>
          <a:off x="0" y="294894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SR.Modem.01.07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2" name="圆角矩形 141"/>
        <xdr:cNvSpPr/>
      </xdr:nvSpPr>
      <xdr:spPr>
        <a:xfrm>
          <a:off x="0" y="30175200"/>
          <a:ext cx="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SR.Modem.01.09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11</xdr:col>
      <xdr:colOff>0</xdr:colOff>
      <xdr:row>5</xdr:row>
      <xdr:rowOff>0</xdr:rowOff>
    </xdr:to>
    <xdr:sp macro="" textlink="">
      <xdr:nvSpPr>
        <xdr:cNvPr id="2" name="圆角矩形 1"/>
        <xdr:cNvSpPr/>
      </xdr:nvSpPr>
      <xdr:spPr>
        <a:xfrm>
          <a:off x="0" y="685800"/>
          <a:ext cx="754380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SR.SelfReg_001.0001.0001</a:t>
          </a:r>
          <a:endParaRPr lang="zh-CN" altLang="en-US" sz="1100"/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20</xdr:col>
      <xdr:colOff>0</xdr:colOff>
      <xdr:row>9</xdr:row>
      <xdr:rowOff>0</xdr:rowOff>
    </xdr:to>
    <xdr:sp macro="" textlink="">
      <xdr:nvSpPr>
        <xdr:cNvPr id="4" name="圆角矩形 3"/>
        <xdr:cNvSpPr/>
      </xdr:nvSpPr>
      <xdr:spPr>
        <a:xfrm>
          <a:off x="7543800" y="1371600"/>
          <a:ext cx="617220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SR.SelfReg_001.0001.0002</a:t>
          </a:r>
          <a:endParaRPr lang="zh-CN" altLang="en-US" sz="1100"/>
        </a:p>
      </xdr:txBody>
    </xdr:sp>
    <xdr:clientData/>
  </xdr:twoCellAnchor>
  <xdr:twoCellAnchor>
    <xdr:from>
      <xdr:col>11</xdr:col>
      <xdr:colOff>0</xdr:colOff>
      <xdr:row>4</xdr:row>
      <xdr:rowOff>0</xdr:rowOff>
    </xdr:from>
    <xdr:to>
      <xdr:col>15</xdr:col>
      <xdr:colOff>342900</xdr:colOff>
      <xdr:row>7</xdr:row>
      <xdr:rowOff>0</xdr:rowOff>
    </xdr:to>
    <xdr:cxnSp macro="">
      <xdr:nvCxnSpPr>
        <xdr:cNvPr id="5" name="曲线连接符 4"/>
        <xdr:cNvCxnSpPr>
          <a:stCxn id="2" idx="3"/>
          <a:endCxn id="4" idx="0"/>
        </xdr:cNvCxnSpPr>
      </xdr:nvCxnSpPr>
      <xdr:spPr>
        <a:xfrm>
          <a:off x="7543800" y="857250"/>
          <a:ext cx="3086100" cy="514350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</xdr:row>
          <xdr:rowOff>114300</xdr:rowOff>
        </xdr:from>
        <xdr:to>
          <xdr:col>1</xdr:col>
          <xdr:colOff>1314450</xdr:colOff>
          <xdr:row>7</xdr:row>
          <xdr:rowOff>66675</xdr:rowOff>
        </xdr:to>
        <xdr:sp macro="" textlink="">
          <xdr:nvSpPr>
            <xdr:cNvPr id="5121" name="Button 1" descr="生成交付地图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2400" b="0" i="0" u="none" strike="noStrike" baseline="0">
                  <a:solidFill>
                    <a:srgbClr val="000000"/>
                  </a:solidFill>
                  <a:latin typeface="隶书"/>
                  <a:ea typeface="隶书"/>
                </a:rPr>
                <a:t>生成交付地图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4110;&#21161;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sean.sun\LOCALS~1\Temp\notes896CC5\~982878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sean.sun\LOCALS~1\Temp\notes896CC5\Risk%20Management-zhaohui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monee.hou\&#26700;&#38754;\&#31508;&#35760;&#26412;&#30005;&#33041;&#35774;&#22791;&#20351;&#29992;&#31649;&#29702;&#22791;&#26696;&#34920;&#8212;TD%20UNIT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3.%20Work\PM&#26448;&#26009;\1.%20budget\2019\&#26032;&#24314;&#25991;&#20214;&#22841;\2019&#24180;&#39044;&#31639;%20-%20Orca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帮助"/>
      <sheetName val="Sheet9"/>
      <sheetName val="REF"/>
      <sheetName val="说明"/>
      <sheetName val="Instructions"/>
      <sheetName val="Sheet1"/>
      <sheetName val="project"/>
      <sheetName val="测试能力&amp;辅助"/>
      <sheetName val="Bug遗留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首页"/>
      <sheetName val="Risk"/>
      <sheetName val="配置"/>
    </sheetNames>
    <sheetDataSet>
      <sheetData sheetId="0" refreshError="1"/>
      <sheetData sheetId="1" refreshError="1"/>
      <sheetData sheetId="2">
        <row r="4">
          <cell r="A4" t="str">
            <v>高</v>
          </cell>
          <cell r="B4" t="str">
            <v>中</v>
          </cell>
          <cell r="C4" t="str">
            <v>低</v>
          </cell>
        </row>
        <row r="8">
          <cell r="A8" t="str">
            <v>高</v>
          </cell>
          <cell r="B8" t="str">
            <v>中</v>
          </cell>
          <cell r="C8" t="str">
            <v>低</v>
          </cell>
        </row>
        <row r="12">
          <cell r="A12" t="str">
            <v>提出</v>
          </cell>
          <cell r="B12" t="str">
            <v>执行规避措施</v>
          </cell>
          <cell r="C12" t="str">
            <v>发生</v>
          </cell>
          <cell r="D12" t="str">
            <v>关闭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isk"/>
      <sheetName val="配置"/>
    </sheetNames>
    <sheetDataSet>
      <sheetData sheetId="0" refreshError="1"/>
      <sheetData sheetId="1" refreshError="1"/>
      <sheetData sheetId="2">
        <row r="4">
          <cell r="A4" t="str">
            <v>高</v>
          </cell>
          <cell r="B4" t="str">
            <v>中</v>
          </cell>
          <cell r="C4" t="str">
            <v>低</v>
          </cell>
        </row>
        <row r="8">
          <cell r="A8" t="str">
            <v>高</v>
          </cell>
          <cell r="B8" t="str">
            <v>中</v>
          </cell>
          <cell r="C8" t="str">
            <v>低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 refreshError="1"/>
      <sheetData sheetId="1">
        <row r="4">
          <cell r="A4" t="str">
            <v>Out Office</v>
          </cell>
        </row>
        <row r="5">
          <cell r="A5" t="str">
            <v>Repair</v>
          </cell>
        </row>
        <row r="6">
          <cell r="A6" t="str">
            <v>In Office</v>
          </cell>
        </row>
        <row r="7">
          <cell r="A7" t="str">
            <v>IT Check</v>
          </cell>
        </row>
        <row r="8">
          <cell r="A8" t="str">
            <v>Delay</v>
          </cell>
        </row>
        <row r="13">
          <cell r="A13" t="str">
            <v>Manager</v>
          </cell>
        </row>
        <row r="14">
          <cell r="A14" t="str">
            <v>Engineer</v>
          </cell>
        </row>
        <row r="15">
          <cell r="A15" t="str">
            <v>Clerk</v>
          </cell>
        </row>
      </sheetData>
      <sheetData sheetId="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薪酬福利"/>
      <sheetName val="员工职级"/>
      <sheetName val="外包职级"/>
      <sheetName val="差旅费"/>
      <sheetName val="差旅费汇"/>
      <sheetName val="项目信息"/>
      <sheetName val="部门信息"/>
      <sheetName val="递延编制"/>
      <sheetName val="资产"/>
      <sheetName val="研发费"/>
      <sheetName val="薪酬福利CN"/>
      <sheetName val="薪酬福利HK"/>
      <sheetName val="薪酬福利US"/>
      <sheetName val="薪酬福利IN"/>
      <sheetName val="薪酬福利FI"/>
      <sheetName val="薪酬福利KR"/>
      <sheetName val="薪酬福利TW"/>
      <sheetName val="基础信息"/>
      <sheetName val="Cover"/>
      <sheetName val="预算汇总表"/>
      <sheetName val="附1-新增员工(部门)"/>
      <sheetName val="附2-培训招聘(HR)"/>
      <sheetName val="附3-交通差旅"/>
      <sheetName val="附4-外部服务"/>
      <sheetName val="附5-会员及专利"/>
      <sheetName val="附6-法律事务"/>
      <sheetName val="附7-办公楼租赁"/>
      <sheetName val="附8-会议相关"/>
      <sheetName val="附9-招待相关"/>
      <sheetName val="附10-通讯相关"/>
      <sheetName val="附11-其他外部服务"/>
      <sheetName val="附12-销售公关"/>
      <sheetName val="附13-员工福利"/>
      <sheetName val="附14-其他行政相关"/>
      <sheetName val="附15-其他支出"/>
      <sheetName val="附16-资本支出"/>
      <sheetName val="附17-研发费"/>
      <sheetName val="附18-项目人员需求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D4">
            <v>3318</v>
          </cell>
        </row>
      </sheetData>
      <sheetData sheetId="7" refreshError="1"/>
      <sheetData sheetId="8" refreshError="1"/>
      <sheetData sheetId="9" refreshError="1"/>
      <sheetData sheetId="10">
        <row r="8">
          <cell r="B8">
            <v>0.25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3">
          <cell r="D3">
            <v>2019</v>
          </cell>
          <cell r="F3" t="str">
            <v>01月/Jan</v>
          </cell>
          <cell r="I3" t="str">
            <v>IC</v>
          </cell>
          <cell r="M3" t="str">
            <v>助理测试工程师</v>
          </cell>
          <cell r="O3" t="str">
            <v>专利申请费/Patent Application Fee</v>
          </cell>
          <cell r="Q3" t="str">
            <v>境内/Domestic</v>
          </cell>
          <cell r="S3" t="str">
            <v>0-3 years</v>
          </cell>
          <cell r="U3" t="str">
            <v>诉讼法律费/Litigation Fees and Costs</v>
          </cell>
          <cell r="AA3" t="str">
            <v>境内/Domestic</v>
          </cell>
          <cell r="AB3" t="str">
            <v>飞机/Airplane</v>
          </cell>
          <cell r="AD3" t="str">
            <v>交通运输/Autos</v>
          </cell>
        </row>
        <row r="4">
          <cell r="F4" t="str">
            <v>02月/Feb</v>
          </cell>
          <cell r="I4" t="str">
            <v>IC Test</v>
          </cell>
          <cell r="M4" t="str">
            <v>初级测试工程师</v>
          </cell>
          <cell r="O4" t="str">
            <v>专利维持-年费/Annual Fee of Patent Maintenance</v>
          </cell>
          <cell r="Q4" t="str">
            <v>境外/Overseas</v>
          </cell>
          <cell r="S4" t="str">
            <v>4-6 years</v>
          </cell>
          <cell r="U4" t="str">
            <v>非诉法律费/Non-Litigation Fees and Costs</v>
          </cell>
          <cell r="AA4" t="str">
            <v>亚洲/Asia</v>
          </cell>
          <cell r="AB4" t="str">
            <v>火车/Train</v>
          </cell>
          <cell r="AD4" t="str">
            <v>服务器/Server</v>
          </cell>
        </row>
        <row r="5">
          <cell r="F5" t="str">
            <v>03月/Mar</v>
          </cell>
          <cell r="I5" t="str">
            <v>System MM</v>
          </cell>
          <cell r="M5" t="str">
            <v>中级测试工程师</v>
          </cell>
          <cell r="O5" t="str">
            <v>专利维持-答辩费/Reply Fee of Patent Maintenance</v>
          </cell>
          <cell r="S5" t="str">
            <v>7-9 years</v>
          </cell>
          <cell r="AA5" t="str">
            <v>非洲/Africa</v>
          </cell>
          <cell r="AB5" t="str">
            <v>轮船/Steamship</v>
          </cell>
          <cell r="AD5" t="str">
            <v>存储/Storage</v>
          </cell>
        </row>
        <row r="6">
          <cell r="F6" t="str">
            <v>04月/Apr</v>
          </cell>
          <cell r="I6" t="str">
            <v>Tech</v>
          </cell>
          <cell r="M6" t="str">
            <v>高级测试工程师</v>
          </cell>
          <cell r="O6" t="str">
            <v>专利维持-其他费用/Other Patent Maintenance Fees</v>
          </cell>
          <cell r="S6" t="str">
            <v>10-12 years</v>
          </cell>
          <cell r="AA6" t="str">
            <v>欧洲/Europe</v>
          </cell>
          <cell r="AB6" t="str">
            <v>汽车/Automobile</v>
          </cell>
          <cell r="AD6" t="str">
            <v>交换机/Switch</v>
          </cell>
        </row>
        <row r="7">
          <cell r="F7" t="str">
            <v>05月/May</v>
          </cell>
          <cell r="I7" t="str">
            <v>ASIC_BJ</v>
          </cell>
          <cell r="M7" t="str">
            <v>中级开发工程师</v>
          </cell>
          <cell r="S7" t="str">
            <v>13-15 years</v>
          </cell>
          <cell r="AA7" t="str">
            <v>美洲/America</v>
          </cell>
          <cell r="AD7" t="str">
            <v>电脑/Computer</v>
          </cell>
        </row>
        <row r="8">
          <cell r="F8" t="str">
            <v>06月/Jun</v>
          </cell>
          <cell r="I8" t="str">
            <v>ASIC_TJ</v>
          </cell>
          <cell r="M8" t="str">
            <v>高级开发工程师</v>
          </cell>
          <cell r="S8" t="str">
            <v>16-20 years</v>
          </cell>
          <cell r="AA8" t="str">
            <v>大洋洲/Oceania</v>
          </cell>
          <cell r="AD8" t="str">
            <v>计算机硬件设备-其他/Computer Hardwares-Others</v>
          </cell>
        </row>
        <row r="9">
          <cell r="F9" t="str">
            <v>07月/Jul</v>
          </cell>
          <cell r="I9" t="str">
            <v>ASIC_Suz</v>
          </cell>
          <cell r="M9" t="str">
            <v>资深开发工程师</v>
          </cell>
          <cell r="S9" t="str">
            <v>others</v>
          </cell>
          <cell r="AD9" t="str">
            <v>办公家具/Furniture＆Fixture</v>
          </cell>
        </row>
        <row r="10">
          <cell r="F10" t="str">
            <v>08月/Aug</v>
          </cell>
          <cell r="I10" t="str">
            <v>ASIC_HZ</v>
          </cell>
          <cell r="M10" t="str">
            <v>高级通信软件工程师1</v>
          </cell>
          <cell r="AD10" t="str">
            <v>EDA工具/EDA Tool</v>
          </cell>
        </row>
        <row r="11">
          <cell r="F11" t="str">
            <v>09月/Sep</v>
          </cell>
          <cell r="I11" t="str">
            <v>ASIC_XM</v>
          </cell>
          <cell r="M11" t="str">
            <v>高级通信软件工程师2</v>
          </cell>
          <cell r="AD11" t="str">
            <v>ARM 授权/ARM Authorization</v>
          </cell>
        </row>
        <row r="12">
          <cell r="F12" t="str">
            <v>10月/Oct</v>
          </cell>
          <cell r="I12" t="str">
            <v>ASIC_CD</v>
          </cell>
          <cell r="M12" t="str">
            <v>资深通信软件工程师1</v>
          </cell>
          <cell r="AD12" t="str">
            <v>无形资产-其他/Intangible Assets-Others</v>
          </cell>
        </row>
        <row r="13">
          <cell r="F13" t="str">
            <v>11月/Nov</v>
          </cell>
          <cell r="I13" t="str">
            <v>NRT</v>
          </cell>
          <cell r="M13" t="str">
            <v>资深通信软件工程师2</v>
          </cell>
          <cell r="AD13" t="str">
            <v>装修装饰/Decoration</v>
          </cell>
        </row>
        <row r="14">
          <cell r="F14" t="str">
            <v>12月/Dec</v>
          </cell>
          <cell r="I14" t="str">
            <v>SPS</v>
          </cell>
          <cell r="M14" t="str">
            <v>手机测试操作员</v>
          </cell>
          <cell r="AD14" t="str">
            <v>综合布线/Cabling</v>
          </cell>
        </row>
        <row r="15">
          <cell r="I15" t="str">
            <v>MBJ</v>
          </cell>
          <cell r="M15" t="str">
            <v>手机测试初级工程师</v>
          </cell>
          <cell r="AD15" t="str">
            <v xml:space="preserve">供电工程/Power Supply Engineering </v>
          </cell>
        </row>
        <row r="16">
          <cell r="I16" t="str">
            <v>AI R&amp;D</v>
          </cell>
          <cell r="M16" t="str">
            <v>高级手机测试操作员</v>
          </cell>
          <cell r="AD16" t="str">
            <v>消防工程/Fire Engineering</v>
          </cell>
        </row>
        <row r="17">
          <cell r="I17" t="str">
            <v>CSD_SH</v>
          </cell>
          <cell r="M17" t="str">
            <v>NPI工程师</v>
          </cell>
          <cell r="AD17" t="str">
            <v>租赁资产改良-其他/Leasehold improvement-Others</v>
          </cell>
        </row>
        <row r="18">
          <cell r="I18" t="str">
            <v>CSD_BJ</v>
          </cell>
          <cell r="M18" t="str">
            <v>中级web开发工程师</v>
          </cell>
          <cell r="AD18" t="str">
            <v>建筑物/Buildings</v>
          </cell>
        </row>
        <row r="19">
          <cell r="I19" t="str">
            <v>CSD_TJ</v>
          </cell>
          <cell r="M19" t="str">
            <v>高级web开发工程师</v>
          </cell>
          <cell r="AD19" t="str">
            <v>办公设备/Office Equipment</v>
          </cell>
        </row>
        <row r="20">
          <cell r="I20" t="str">
            <v>CSD_SZ</v>
          </cell>
          <cell r="M20" t="str">
            <v>初级IT系统服务工程师</v>
          </cell>
          <cell r="AD20" t="str">
            <v>平台软件/Platform Software</v>
          </cell>
        </row>
        <row r="21">
          <cell r="I21" t="str">
            <v>CSD_IN</v>
          </cell>
          <cell r="M21" t="str">
            <v>中级IT系统服务工程师</v>
          </cell>
          <cell r="AD21" t="str">
            <v>通信软件/Communication Software</v>
          </cell>
        </row>
        <row r="22">
          <cell r="I22" t="str">
            <v>PHY</v>
          </cell>
          <cell r="M22" t="str">
            <v>高级IT系统服务工程师</v>
          </cell>
          <cell r="AD22" t="str">
            <v>软件-其他/Software-Others</v>
          </cell>
        </row>
        <row r="23">
          <cell r="I23" t="str">
            <v>NAS</v>
          </cell>
          <cell r="M23" t="str">
            <v>初级网络工程师</v>
          </cell>
          <cell r="AD23" t="str">
            <v>协议分析仪器/Protocol Analyzer</v>
          </cell>
        </row>
        <row r="24">
          <cell r="I24" t="str">
            <v>UEIT</v>
          </cell>
          <cell r="M24" t="str">
            <v>中级网络工程师</v>
          </cell>
          <cell r="AD24" t="str">
            <v>无线通信综测仪器/Wireless Communication Comprehensive Test Instrument</v>
          </cell>
        </row>
        <row r="25">
          <cell r="I25" t="str">
            <v>AS</v>
          </cell>
          <cell r="AD25" t="str">
            <v>无线连接测试仪器/Wireless Connection Test Set</v>
          </cell>
        </row>
        <row r="26">
          <cell r="I26" t="str">
            <v>CommSys_BJ</v>
          </cell>
          <cell r="AD26" t="str">
            <v>通用射频仪器/Universal RF Instrumentt</v>
          </cell>
        </row>
        <row r="27">
          <cell r="I27" t="str">
            <v>CommSys_NJ</v>
          </cell>
          <cell r="AD27" t="str">
            <v>音频测试仪器/Audio Test Set</v>
          </cell>
        </row>
        <row r="28">
          <cell r="I28" t="str">
            <v>CommSys_CD</v>
          </cell>
          <cell r="AD28" t="str">
            <v>环境测试仪器/Environmental Test Set</v>
          </cell>
        </row>
        <row r="29">
          <cell r="I29" t="str">
            <v>Codesign</v>
          </cell>
          <cell r="AD29" t="str">
            <v>数字示波器/Digital Oscilloscope</v>
          </cell>
        </row>
        <row r="30">
          <cell r="I30" t="str">
            <v>HW BB</v>
          </cell>
          <cell r="AD30" t="str">
            <v>精密电源/Precise Power Supply</v>
          </cell>
        </row>
        <row r="31">
          <cell r="I31" t="str">
            <v>HW COM</v>
          </cell>
          <cell r="AD31" t="str">
            <v>仿真器/Emulator</v>
          </cell>
        </row>
        <row r="32">
          <cell r="I32" t="str">
            <v>HW CS</v>
          </cell>
          <cell r="AD32" t="str">
            <v>FPGA板/FPGA Board</v>
          </cell>
        </row>
        <row r="33">
          <cell r="I33" t="str">
            <v>HW RF</v>
          </cell>
          <cell r="AD33" t="str">
            <v>测试设备-其他/Test Equipment-Others</v>
          </cell>
        </row>
        <row r="34">
          <cell r="I34" t="str">
            <v>ARM</v>
          </cell>
          <cell r="AD34" t="str">
            <v>在建工程-固定资产/Construction In Progress-Fixed Assets</v>
          </cell>
        </row>
        <row r="35">
          <cell r="I35" t="str">
            <v>HW_HuiZhou</v>
          </cell>
          <cell r="AD35" t="str">
            <v>在建工程-无形资产/ Construction In Progress-Intangible Assets</v>
          </cell>
        </row>
        <row r="36">
          <cell r="I36" t="str">
            <v>CEO Office</v>
          </cell>
          <cell r="AD36" t="str">
            <v>在建工程-新大楼装修/Construction In Progress-New Building Decoration</v>
          </cell>
        </row>
        <row r="37">
          <cell r="I37" t="str">
            <v>Board of Directors’ Office</v>
          </cell>
        </row>
        <row r="38">
          <cell r="I38" t="str">
            <v>Customer Service Support</v>
          </cell>
        </row>
        <row r="39">
          <cell r="I39" t="str">
            <v>PR MARCOM</v>
          </cell>
        </row>
        <row r="40">
          <cell r="I40" t="str">
            <v>Science Museum</v>
          </cell>
        </row>
        <row r="41">
          <cell r="I41" t="str">
            <v>Legal</v>
          </cell>
        </row>
        <row r="42">
          <cell r="I42" t="str">
            <v>HR</v>
          </cell>
        </row>
        <row r="43">
          <cell r="I43" t="str">
            <v>Admin</v>
          </cell>
        </row>
        <row r="44">
          <cell r="I44" t="str">
            <v>Finance</v>
          </cell>
        </row>
        <row r="45">
          <cell r="I45" t="str">
            <v>IA</v>
          </cell>
        </row>
        <row r="46">
          <cell r="I46" t="str">
            <v>IT</v>
          </cell>
        </row>
        <row r="47">
          <cell r="I47" t="str">
            <v>SID_SH</v>
          </cell>
        </row>
        <row r="48">
          <cell r="I48" t="str">
            <v>SID_BJ</v>
          </cell>
        </row>
        <row r="49">
          <cell r="I49" t="str">
            <v>SSD</v>
          </cell>
        </row>
        <row r="50">
          <cell r="I50" t="str">
            <v>ASD（Sales）</v>
          </cell>
        </row>
        <row r="51">
          <cell r="I51" t="str">
            <v>RSD</v>
          </cell>
        </row>
        <row r="52">
          <cell r="I52" t="str">
            <v>ISD</v>
          </cell>
        </row>
        <row r="53">
          <cell r="I53" t="str">
            <v>Sales Operation</v>
          </cell>
        </row>
        <row r="54">
          <cell r="I54" t="str">
            <v>Operator Business Development</v>
          </cell>
        </row>
        <row r="55">
          <cell r="I55" t="str">
            <v>Logistics</v>
          </cell>
        </row>
        <row r="56">
          <cell r="I56" t="str">
            <v>Procurement</v>
          </cell>
        </row>
        <row r="57">
          <cell r="I57" t="str">
            <v>Packaging</v>
          </cell>
        </row>
        <row r="58">
          <cell r="I58" t="str">
            <v>Product Engineering</v>
          </cell>
        </row>
        <row r="59">
          <cell r="I59" t="str">
            <v>Manufacturing Test Engineering</v>
          </cell>
        </row>
        <row r="60">
          <cell r="I60" t="str">
            <v>QA</v>
          </cell>
        </row>
        <row r="61">
          <cell r="I61" t="str">
            <v>TE</v>
          </cell>
        </row>
        <row r="62">
          <cell r="I62" t="str">
            <v>CPSD_SH</v>
          </cell>
        </row>
        <row r="63">
          <cell r="I63" t="str">
            <v>CPSD_NJ</v>
          </cell>
        </row>
        <row r="64">
          <cell r="I64" t="str">
            <v>CPSD_SZ</v>
          </cell>
        </row>
        <row r="65">
          <cell r="I65" t="str">
            <v>CPSD_XM</v>
          </cell>
        </row>
        <row r="66">
          <cell r="I66" t="str">
            <v>CPSD_CD</v>
          </cell>
        </row>
        <row r="67">
          <cell r="I67" t="str">
            <v>CPSD_BJ</v>
          </cell>
        </row>
        <row r="68">
          <cell r="I68" t="str">
            <v>CPSD_TJ</v>
          </cell>
        </row>
        <row r="69">
          <cell r="I69" t="str">
            <v>PM</v>
          </cell>
        </row>
        <row r="70">
          <cell r="I70" t="str">
            <v>CE</v>
          </cell>
        </row>
        <row r="71">
          <cell r="I71" t="str">
            <v>Test_SH</v>
          </cell>
        </row>
        <row r="72">
          <cell r="I72" t="str">
            <v>Test_TJ</v>
          </cell>
        </row>
        <row r="73">
          <cell r="I73" t="str">
            <v>Test_BJ</v>
          </cell>
        </row>
        <row r="74">
          <cell r="I74" t="str">
            <v>Test_CD</v>
          </cell>
        </row>
        <row r="75">
          <cell r="I75" t="str">
            <v>Test_IN</v>
          </cell>
        </row>
        <row r="76">
          <cell r="I76" t="str">
            <v>ACS</v>
          </cell>
        </row>
        <row r="77">
          <cell r="I77" t="str">
            <v>ASD</v>
          </cell>
        </row>
        <row r="78">
          <cell r="I78" t="str">
            <v>ASD_US</v>
          </cell>
        </row>
        <row r="79">
          <cell r="I79" t="str">
            <v>WICD</v>
          </cell>
        </row>
        <row r="80">
          <cell r="I80" t="str">
            <v>Leading 5G</v>
          </cell>
        </row>
        <row r="81">
          <cell r="I81" t="str">
            <v>IOT Product Line</v>
          </cell>
        </row>
        <row r="82">
          <cell r="I82" t="str">
            <v>RFFE Product Line</v>
          </cell>
        </row>
        <row r="83">
          <cell r="I83" t="str">
            <v>S300 Product Line</v>
          </cell>
        </row>
        <row r="84">
          <cell r="I84" t="str">
            <v>WCN Product Line</v>
          </cell>
        </row>
        <row r="85">
          <cell r="I85" t="str">
            <v>Marketing</v>
          </cell>
        </row>
        <row r="86">
          <cell r="I86" t="str">
            <v>AI Product Line</v>
          </cell>
        </row>
        <row r="87">
          <cell r="I87" t="str">
            <v>TV Product Line</v>
          </cell>
        </row>
        <row r="88">
          <cell r="I88" t="str">
            <v>IOT Modem2 SOC</v>
          </cell>
        </row>
        <row r="89">
          <cell r="I89" t="str">
            <v>IOT R&amp;D_SH</v>
          </cell>
        </row>
        <row r="90">
          <cell r="I90" t="str">
            <v>IOT R&amp;D_BJ</v>
          </cell>
        </row>
        <row r="91">
          <cell r="I91" t="str">
            <v>IOT R&amp;D_TJ</v>
          </cell>
        </row>
        <row r="92">
          <cell r="I92" t="str">
            <v>IOT R&amp;D_CQ</v>
          </cell>
        </row>
        <row r="93">
          <cell r="I93" t="str">
            <v>WCN_SH</v>
          </cell>
        </row>
        <row r="94">
          <cell r="I94" t="str">
            <v>BT</v>
          </cell>
        </row>
        <row r="95">
          <cell r="I95" t="str">
            <v>WCN_CD</v>
          </cell>
        </row>
        <row r="96">
          <cell r="I96" t="str">
            <v>MUS (San Jose Office)</v>
          </cell>
        </row>
        <row r="97">
          <cell r="I97" t="str">
            <v>San Diego Office</v>
          </cell>
        </row>
        <row r="98">
          <cell r="I98" t="str">
            <v>India Office</v>
          </cell>
        </row>
        <row r="99">
          <cell r="I99" t="str">
            <v>TP Office</v>
          </cell>
        </row>
        <row r="100">
          <cell r="I100" t="str">
            <v>BJ Office</v>
          </cell>
        </row>
        <row r="101">
          <cell r="I101" t="str">
            <v>TJ Office</v>
          </cell>
        </row>
        <row r="102">
          <cell r="I102" t="str">
            <v>SZ Office</v>
          </cell>
        </row>
        <row r="103">
          <cell r="I103" t="str">
            <v>NJ Office</v>
          </cell>
        </row>
        <row r="104">
          <cell r="I104" t="str">
            <v>CD Office</v>
          </cell>
        </row>
        <row r="105">
          <cell r="I105" t="str">
            <v>CQ Office</v>
          </cell>
        </row>
        <row r="106">
          <cell r="I106" t="str">
            <v>HZ Office</v>
          </cell>
        </row>
        <row r="107">
          <cell r="I107" t="str">
            <v>MegaCores (SUZ)</v>
          </cell>
        </row>
        <row r="108">
          <cell r="I108" t="str">
            <v>XMZR</v>
          </cell>
        </row>
        <row r="109">
          <cell r="I109" t="str">
            <v>HuiZhou Office</v>
          </cell>
        </row>
        <row r="110">
          <cell r="I110" t="str">
            <v>HK Office</v>
          </cell>
        </row>
        <row r="111">
          <cell r="I111" t="str">
            <v>BJ Unisoc Tech</v>
          </cell>
        </row>
        <row r="112">
          <cell r="I112" t="str">
            <v>HF Office (IoT Product Line)</v>
          </cell>
        </row>
        <row r="113">
          <cell r="I113">
            <v>0</v>
          </cell>
        </row>
        <row r="114">
          <cell r="I114">
            <v>0</v>
          </cell>
        </row>
        <row r="115">
          <cell r="I115">
            <v>0</v>
          </cell>
        </row>
        <row r="117">
          <cell r="I117" t="str">
            <v>SharkLER</v>
          </cell>
        </row>
        <row r="118">
          <cell r="I118" t="str">
            <v>SharkL3</v>
          </cell>
        </row>
        <row r="119">
          <cell r="I119" t="str">
            <v>SharkL5 (T310)</v>
          </cell>
        </row>
        <row r="120">
          <cell r="I120" t="str">
            <v>SharkL6 (T320)</v>
          </cell>
        </row>
        <row r="121">
          <cell r="I121" t="str">
            <v>SharkL5 Pro (T510)</v>
          </cell>
        </row>
        <row r="122">
          <cell r="I122" t="str">
            <v>SharkL6 Pro (T520)</v>
          </cell>
        </row>
        <row r="123">
          <cell r="I123" t="str">
            <v>ROC1</v>
          </cell>
        </row>
        <row r="124">
          <cell r="I124" t="str">
            <v>ROC2 (T720)</v>
          </cell>
        </row>
        <row r="125">
          <cell r="I125" t="str">
            <v>ROC2E (T726)</v>
          </cell>
        </row>
        <row r="126">
          <cell r="I126" t="str">
            <v>ROC3 (T730)</v>
          </cell>
        </row>
        <row r="127">
          <cell r="I127" t="str">
            <v>SC2720M (UIP2720)</v>
          </cell>
        </row>
        <row r="128">
          <cell r="I128" t="str">
            <v>UMP720</v>
          </cell>
        </row>
        <row r="129">
          <cell r="I129" t="str">
            <v>UMPS720C</v>
          </cell>
        </row>
        <row r="130">
          <cell r="I130" t="str">
            <v>UMPS720P</v>
          </cell>
        </row>
        <row r="131">
          <cell r="I131" t="str">
            <v>La Jolla V2</v>
          </cell>
        </row>
        <row r="132">
          <cell r="I132" t="str">
            <v>Orca</v>
          </cell>
        </row>
        <row r="133">
          <cell r="I133" t="str">
            <v>Marlin3</v>
          </cell>
        </row>
        <row r="134">
          <cell r="I134" t="str">
            <v>Marlin3 Lite</v>
          </cell>
        </row>
        <row r="135">
          <cell r="I135" t="str">
            <v>Marlin3E</v>
          </cell>
        </row>
        <row r="136">
          <cell r="I136" t="str">
            <v>UWP5856E2</v>
          </cell>
        </row>
        <row r="137">
          <cell r="I137" t="str">
            <v>UWP5865</v>
          </cell>
        </row>
        <row r="138">
          <cell r="I138" t="str">
            <v>UWP5857</v>
          </cell>
        </row>
        <row r="139">
          <cell r="I139" t="str">
            <v>Marlin5</v>
          </cell>
        </row>
        <row r="140">
          <cell r="I140" t="str">
            <v>GE3F</v>
          </cell>
        </row>
        <row r="141">
          <cell r="I141" t="str">
            <v>GE3L</v>
          </cell>
        </row>
        <row r="142">
          <cell r="I142" t="str">
            <v>802.11ax预研</v>
          </cell>
        </row>
        <row r="143">
          <cell r="I143" t="str">
            <v>Sword AD-Die</v>
          </cell>
        </row>
        <row r="144">
          <cell r="I144" t="str">
            <v>UIS8510</v>
          </cell>
        </row>
        <row r="145">
          <cell r="I145" t="str">
            <v>SL8521ET</v>
          </cell>
        </row>
        <row r="146">
          <cell r="I146" t="str">
            <v>SL8521EM</v>
          </cell>
        </row>
        <row r="147">
          <cell r="I147" t="str">
            <v>UIS8810</v>
          </cell>
        </row>
        <row r="148">
          <cell r="I148" t="str">
            <v>UIS8010</v>
          </cell>
        </row>
        <row r="149">
          <cell r="I149" t="str">
            <v>UIS8910</v>
          </cell>
        </row>
        <row r="150">
          <cell r="I150" t="str">
            <v>UIS8915</v>
          </cell>
        </row>
        <row r="151">
          <cell r="I151" t="str">
            <v>SC7731EF</v>
          </cell>
        </row>
        <row r="152">
          <cell r="I152" t="str">
            <v>UIS8580</v>
          </cell>
        </row>
        <row r="153">
          <cell r="I153" t="str">
            <v>UIS8542</v>
          </cell>
        </row>
        <row r="154">
          <cell r="I154" t="str">
            <v>UIS6760</v>
          </cell>
        </row>
        <row r="155">
          <cell r="I155" t="str">
            <v>SL8541E</v>
          </cell>
        </row>
        <row r="156">
          <cell r="I156" t="str">
            <v>SL8521E</v>
          </cell>
        </row>
        <row r="157">
          <cell r="I157" t="str">
            <v>SC8830A</v>
          </cell>
        </row>
        <row r="158">
          <cell r="I158" t="str">
            <v>SL1950KH</v>
          </cell>
        </row>
        <row r="159">
          <cell r="I159" t="str">
            <v>SC6531E</v>
          </cell>
        </row>
        <row r="160">
          <cell r="I160" t="str">
            <v>SC8810</v>
          </cell>
        </row>
        <row r="161">
          <cell r="I161" t="str">
            <v>SC9620</v>
          </cell>
        </row>
        <row r="162">
          <cell r="I162" t="str">
            <v>RDA8955</v>
          </cell>
        </row>
        <row r="163">
          <cell r="I163" t="str">
            <v>RDA8908A</v>
          </cell>
        </row>
        <row r="164">
          <cell r="I164" t="str">
            <v>RDA8909B</v>
          </cell>
        </row>
        <row r="165">
          <cell r="I165" t="str">
            <v>UIS8910xM</v>
          </cell>
        </row>
        <row r="166">
          <cell r="I166" t="str">
            <v>UIS8915xM</v>
          </cell>
        </row>
        <row r="167">
          <cell r="I167" t="str">
            <v>UIS8911</v>
          </cell>
        </row>
        <row r="168">
          <cell r="I168" t="str">
            <v>UIPxxxx</v>
          </cell>
        </row>
        <row r="169">
          <cell r="I169" t="str">
            <v>UIWxxxx</v>
          </cell>
        </row>
        <row r="170">
          <cell r="I170" t="str">
            <v>UIS67xx</v>
          </cell>
        </row>
        <row r="171">
          <cell r="I171" t="str">
            <v>UIS66xx</v>
          </cell>
        </row>
        <row r="172">
          <cell r="I172" t="str">
            <v>RDA8908B</v>
          </cell>
        </row>
        <row r="173">
          <cell r="I173" t="str">
            <v>RDA8908C</v>
          </cell>
        </row>
        <row r="174">
          <cell r="I174" t="str">
            <v>RDA8908D</v>
          </cell>
        </row>
        <row r="175">
          <cell r="I175" t="str">
            <v>UIS8821</v>
          </cell>
        </row>
        <row r="176">
          <cell r="I176" t="str">
            <v>UIS8811</v>
          </cell>
        </row>
        <row r="177">
          <cell r="I177" t="str">
            <v>UIS8822</v>
          </cell>
        </row>
        <row r="178">
          <cell r="I178" t="str">
            <v>RFFE-2G/NB IOT</v>
          </cell>
        </row>
        <row r="179">
          <cell r="I179" t="str">
            <v>RFFE-WIFI/Switch/LNA</v>
          </cell>
        </row>
        <row r="180">
          <cell r="I180" t="str">
            <v>RFFE-3G/4G/5G/Filter</v>
          </cell>
        </row>
        <row r="181">
          <cell r="I181" t="str">
            <v>EAGLE2</v>
          </cell>
        </row>
        <row r="182">
          <cell r="I182" t="str">
            <v>EAGLE3</v>
          </cell>
        </row>
        <row r="183">
          <cell r="I183" t="str">
            <v>GOSHAWK</v>
          </cell>
        </row>
        <row r="184">
          <cell r="I184">
            <v>0</v>
          </cell>
        </row>
        <row r="185">
          <cell r="I185">
            <v>0</v>
          </cell>
        </row>
        <row r="186">
          <cell r="I186">
            <v>0</v>
          </cell>
        </row>
        <row r="187">
          <cell r="I187">
            <v>0</v>
          </cell>
        </row>
        <row r="188">
          <cell r="I188">
            <v>0</v>
          </cell>
        </row>
        <row r="189">
          <cell r="I189">
            <v>0</v>
          </cell>
        </row>
        <row r="190">
          <cell r="I190">
            <v>0</v>
          </cell>
        </row>
        <row r="191">
          <cell r="I191">
            <v>0</v>
          </cell>
        </row>
        <row r="192">
          <cell r="I192">
            <v>0</v>
          </cell>
        </row>
        <row r="193">
          <cell r="I193">
            <v>0</v>
          </cell>
        </row>
        <row r="194">
          <cell r="I194">
            <v>0</v>
          </cell>
        </row>
        <row r="195">
          <cell r="I195">
            <v>0</v>
          </cell>
        </row>
        <row r="196">
          <cell r="I196">
            <v>0</v>
          </cell>
        </row>
        <row r="197">
          <cell r="I197">
            <v>0</v>
          </cell>
        </row>
        <row r="198">
          <cell r="I198">
            <v>0</v>
          </cell>
        </row>
        <row r="199">
          <cell r="I199">
            <v>0</v>
          </cell>
        </row>
        <row r="200">
          <cell r="I200">
            <v>0</v>
          </cell>
        </row>
        <row r="201">
          <cell r="I201">
            <v>0</v>
          </cell>
        </row>
        <row r="202">
          <cell r="I202">
            <v>0</v>
          </cell>
        </row>
        <row r="203">
          <cell r="I203">
            <v>0</v>
          </cell>
        </row>
        <row r="204">
          <cell r="I204">
            <v>0</v>
          </cell>
        </row>
        <row r="205">
          <cell r="I205">
            <v>0</v>
          </cell>
        </row>
        <row r="206">
          <cell r="I206">
            <v>0</v>
          </cell>
        </row>
        <row r="207">
          <cell r="I207">
            <v>0</v>
          </cell>
        </row>
        <row r="208">
          <cell r="I208">
            <v>0</v>
          </cell>
        </row>
        <row r="209">
          <cell r="I209">
            <v>0</v>
          </cell>
        </row>
        <row r="210">
          <cell r="I210">
            <v>0</v>
          </cell>
        </row>
        <row r="211">
          <cell r="I211">
            <v>0</v>
          </cell>
        </row>
        <row r="212">
          <cell r="I212">
            <v>0</v>
          </cell>
        </row>
        <row r="213">
          <cell r="I213">
            <v>0</v>
          </cell>
        </row>
      </sheetData>
      <sheetData sheetId="18">
        <row r="14">
          <cell r="D14" t="str">
            <v>Orca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4:F11"/>
  <sheetViews>
    <sheetView workbookViewId="0">
      <selection activeCell="F16" sqref="F16"/>
    </sheetView>
  </sheetViews>
  <sheetFormatPr defaultColWidth="9" defaultRowHeight="14.25" x14ac:dyDescent="0.2"/>
  <cols>
    <col min="1" max="4" width="9" style="33"/>
    <col min="5" max="5" width="16.75" style="33" customWidth="1"/>
    <col min="6" max="6" width="44.625" style="33" customWidth="1"/>
    <col min="7" max="16384" width="9" style="33"/>
  </cols>
  <sheetData>
    <row r="4" spans="5:6" ht="72" customHeight="1" x14ac:dyDescent="0.2">
      <c r="E4" s="63" t="s">
        <v>83</v>
      </c>
      <c r="F4" s="64"/>
    </row>
    <row r="8" spans="5:6" x14ac:dyDescent="0.2">
      <c r="E8" s="38" t="s">
        <v>37</v>
      </c>
      <c r="F8" s="38" t="s">
        <v>84</v>
      </c>
    </row>
    <row r="9" spans="5:6" x14ac:dyDescent="0.2">
      <c r="E9" s="38" t="s">
        <v>38</v>
      </c>
      <c r="F9" s="38" t="s">
        <v>84</v>
      </c>
    </row>
    <row r="10" spans="5:6" x14ac:dyDescent="0.2">
      <c r="E10" s="38" t="s">
        <v>39</v>
      </c>
      <c r="F10" s="38"/>
    </row>
    <row r="11" spans="5:6" x14ac:dyDescent="0.2">
      <c r="E11" s="38" t="s">
        <v>40</v>
      </c>
      <c r="F11" s="38" t="s">
        <v>42</v>
      </c>
    </row>
  </sheetData>
  <mergeCells count="1">
    <mergeCell ref="E4:F4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12"/>
  <sheetViews>
    <sheetView workbookViewId="0">
      <selection activeCell="C13" sqref="C13:C14"/>
    </sheetView>
  </sheetViews>
  <sheetFormatPr defaultColWidth="9" defaultRowHeight="14.25" x14ac:dyDescent="0.2"/>
  <cols>
    <col min="1" max="1" width="9.125" style="20" bestFit="1" customWidth="1"/>
    <col min="2" max="2" width="13.5" style="20" customWidth="1"/>
    <col min="3" max="3" width="15" style="20" bestFit="1" customWidth="1"/>
    <col min="4" max="4" width="53" style="20" customWidth="1"/>
    <col min="5" max="5" width="17.625" style="20" customWidth="1"/>
    <col min="6" max="6" width="9" style="20"/>
    <col min="7" max="7" width="11.625" style="20" bestFit="1" customWidth="1"/>
    <col min="8" max="16384" width="9" style="20"/>
  </cols>
  <sheetData>
    <row r="2" spans="1:7" ht="15.75" x14ac:dyDescent="0.25">
      <c r="A2" s="65" t="s">
        <v>41</v>
      </c>
      <c r="B2" s="65"/>
      <c r="C2" s="65"/>
      <c r="D2" s="65"/>
    </row>
    <row r="4" spans="1:7" ht="15" x14ac:dyDescent="0.2">
      <c r="A4" s="66" t="s">
        <v>21</v>
      </c>
      <c r="B4" s="66"/>
      <c r="C4" s="66"/>
      <c r="D4" s="66"/>
    </row>
    <row r="5" spans="1:7" ht="15.75" x14ac:dyDescent="0.2">
      <c r="A5" s="21" t="s">
        <v>22</v>
      </c>
      <c r="B5" s="21" t="s">
        <v>23</v>
      </c>
      <c r="C5" s="21" t="s">
        <v>24</v>
      </c>
      <c r="D5" s="21" t="s">
        <v>25</v>
      </c>
      <c r="G5" s="22"/>
    </row>
    <row r="6" spans="1:7" ht="16.5" x14ac:dyDescent="0.2">
      <c r="A6" s="23" t="s">
        <v>26</v>
      </c>
      <c r="B6" s="24">
        <v>43998</v>
      </c>
      <c r="C6" s="25" t="s">
        <v>27</v>
      </c>
      <c r="D6" s="26" t="s">
        <v>28</v>
      </c>
      <c r="G6" s="22"/>
    </row>
    <row r="7" spans="1:7" ht="16.5" x14ac:dyDescent="0.2">
      <c r="A7" s="23"/>
      <c r="B7" s="24"/>
      <c r="C7" s="25"/>
      <c r="D7" s="27"/>
      <c r="G7" s="22"/>
    </row>
    <row r="8" spans="1:7" ht="16.5" x14ac:dyDescent="0.2">
      <c r="A8" s="23"/>
      <c r="B8" s="24"/>
      <c r="C8" s="25"/>
      <c r="D8" s="27"/>
      <c r="G8" s="22"/>
    </row>
    <row r="9" spans="1:7" ht="16.5" x14ac:dyDescent="0.2">
      <c r="A9" s="23"/>
      <c r="B9" s="24"/>
      <c r="C9" s="25"/>
      <c r="D9" s="27"/>
      <c r="G9" s="22"/>
    </row>
    <row r="10" spans="1:7" ht="16.5" x14ac:dyDescent="0.2">
      <c r="A10" s="28"/>
      <c r="B10" s="29"/>
      <c r="C10" s="31"/>
      <c r="D10" s="31"/>
    </row>
    <row r="11" spans="1:7" ht="16.5" x14ac:dyDescent="0.2">
      <c r="A11" s="28"/>
      <c r="B11" s="29"/>
      <c r="C11" s="30"/>
      <c r="D11" s="31"/>
    </row>
    <row r="12" spans="1:7" ht="16.5" x14ac:dyDescent="0.2">
      <c r="A12" s="30"/>
      <c r="B12" s="32"/>
      <c r="C12" s="30"/>
      <c r="D12" s="31"/>
    </row>
  </sheetData>
  <mergeCells count="2">
    <mergeCell ref="A2:D2"/>
    <mergeCell ref="A4:D4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3"/>
  <sheetViews>
    <sheetView workbookViewId="0">
      <selection activeCell="B2" sqref="B2:I2"/>
    </sheetView>
  </sheetViews>
  <sheetFormatPr defaultColWidth="9" defaultRowHeight="14.25" x14ac:dyDescent="0.2"/>
  <cols>
    <col min="1" max="1" width="5.75" style="33" bestFit="1" customWidth="1"/>
    <col min="2" max="2" width="9" style="33"/>
    <col min="3" max="3" width="17.875" style="37" customWidth="1"/>
    <col min="4" max="4" width="29.75" style="33" customWidth="1"/>
    <col min="5" max="5" width="32.125" style="33" customWidth="1"/>
    <col min="6" max="6" width="9" style="33"/>
    <col min="7" max="7" width="12.375" style="33" bestFit="1" customWidth="1"/>
    <col min="8" max="9" width="9.875" style="33" bestFit="1" customWidth="1"/>
    <col min="10" max="10" width="24" style="33" customWidth="1"/>
    <col min="11" max="16384" width="9" style="33"/>
  </cols>
  <sheetData>
    <row r="1" spans="1:10" s="41" customFormat="1" ht="16.5" x14ac:dyDescent="0.35">
      <c r="A1" s="39" t="s">
        <v>29</v>
      </c>
      <c r="B1" s="39" t="s">
        <v>30</v>
      </c>
      <c r="C1" s="40" t="s">
        <v>31</v>
      </c>
      <c r="D1" s="39" t="s">
        <v>32</v>
      </c>
      <c r="E1" s="39" t="s">
        <v>33</v>
      </c>
      <c r="F1" s="39" t="s">
        <v>11</v>
      </c>
      <c r="G1" s="39" t="s">
        <v>34</v>
      </c>
      <c r="H1" s="39" t="s">
        <v>35</v>
      </c>
      <c r="I1" s="39" t="s">
        <v>36</v>
      </c>
      <c r="J1" s="39" t="s">
        <v>17</v>
      </c>
    </row>
    <row r="2" spans="1:10" x14ac:dyDescent="0.2">
      <c r="A2" s="34">
        <v>1</v>
      </c>
      <c r="B2" s="35"/>
      <c r="C2" s="35"/>
      <c r="D2" s="35"/>
      <c r="E2" s="35"/>
      <c r="F2" s="35"/>
      <c r="G2" s="35"/>
      <c r="H2" s="35"/>
      <c r="I2" s="36"/>
      <c r="J2" s="35"/>
    </row>
    <row r="3" spans="1:10" x14ac:dyDescent="0.2">
      <c r="A3" s="34">
        <v>2</v>
      </c>
      <c r="B3" s="35"/>
      <c r="C3" s="35"/>
      <c r="D3" s="35"/>
      <c r="E3" s="35"/>
      <c r="F3" s="35"/>
      <c r="G3" s="35"/>
      <c r="H3" s="35"/>
      <c r="I3" s="35"/>
      <c r="J3" s="35"/>
    </row>
    <row r="4" spans="1:10" x14ac:dyDescent="0.2">
      <c r="A4" s="34">
        <v>3</v>
      </c>
      <c r="B4" s="35"/>
      <c r="C4" s="35"/>
      <c r="D4" s="35"/>
      <c r="E4" s="35"/>
      <c r="F4" s="35"/>
      <c r="G4" s="35"/>
      <c r="H4" s="35"/>
      <c r="I4" s="35"/>
      <c r="J4" s="35"/>
    </row>
    <row r="5" spans="1:10" x14ac:dyDescent="0.2">
      <c r="A5" s="34">
        <v>4</v>
      </c>
      <c r="B5" s="35"/>
      <c r="C5" s="35"/>
      <c r="D5" s="35"/>
      <c r="E5" s="35"/>
      <c r="F5" s="35"/>
      <c r="G5" s="35"/>
      <c r="H5" s="35"/>
      <c r="I5" s="35"/>
      <c r="J5" s="35"/>
    </row>
    <row r="6" spans="1:10" x14ac:dyDescent="0.2">
      <c r="A6" s="34">
        <v>5</v>
      </c>
      <c r="B6" s="35"/>
      <c r="C6" s="35"/>
      <c r="D6" s="35"/>
      <c r="E6" s="35"/>
      <c r="F6" s="35"/>
      <c r="G6" s="35"/>
      <c r="H6" s="35"/>
      <c r="I6" s="35"/>
      <c r="J6" s="35"/>
    </row>
    <row r="7" spans="1:10" x14ac:dyDescent="0.2">
      <c r="A7" s="34">
        <v>6</v>
      </c>
      <c r="B7" s="35"/>
      <c r="C7" s="35"/>
      <c r="D7" s="35"/>
      <c r="E7" s="35"/>
      <c r="F7" s="35"/>
      <c r="G7" s="35"/>
      <c r="H7" s="35"/>
      <c r="I7" s="35"/>
      <c r="J7" s="35"/>
    </row>
    <row r="8" spans="1:10" x14ac:dyDescent="0.2">
      <c r="A8" s="34">
        <v>7</v>
      </c>
      <c r="B8" s="35"/>
      <c r="C8" s="35"/>
      <c r="D8" s="35"/>
      <c r="E8" s="35"/>
      <c r="F8" s="35"/>
      <c r="G8" s="35"/>
      <c r="H8" s="35"/>
      <c r="I8" s="35"/>
      <c r="J8" s="35"/>
    </row>
    <row r="9" spans="1:10" x14ac:dyDescent="0.2">
      <c r="A9" s="34">
        <v>8</v>
      </c>
      <c r="B9" s="35"/>
      <c r="C9" s="35"/>
      <c r="D9" s="35"/>
      <c r="E9" s="35"/>
      <c r="F9" s="35"/>
      <c r="G9" s="35"/>
      <c r="H9" s="35"/>
      <c r="I9" s="35"/>
      <c r="J9" s="35"/>
    </row>
    <row r="10" spans="1:10" x14ac:dyDescent="0.2">
      <c r="A10" s="34">
        <v>9</v>
      </c>
      <c r="B10" s="35"/>
      <c r="C10" s="35"/>
      <c r="D10" s="35"/>
      <c r="E10" s="35"/>
      <c r="F10" s="35"/>
      <c r="G10" s="35"/>
      <c r="H10" s="35"/>
      <c r="I10" s="35"/>
      <c r="J10" s="35"/>
    </row>
    <row r="11" spans="1:10" x14ac:dyDescent="0.2">
      <c r="A11" s="34">
        <v>10</v>
      </c>
      <c r="B11" s="35"/>
      <c r="C11" s="35"/>
      <c r="D11" s="35"/>
      <c r="E11" s="35"/>
      <c r="F11" s="35"/>
      <c r="G11" s="35"/>
      <c r="H11" s="35"/>
      <c r="I11" s="35"/>
      <c r="J11" s="35"/>
    </row>
    <row r="12" spans="1:10" x14ac:dyDescent="0.2">
      <c r="A12" s="34">
        <v>11</v>
      </c>
      <c r="B12" s="35"/>
      <c r="C12" s="35"/>
      <c r="D12" s="35"/>
      <c r="E12" s="35"/>
      <c r="F12" s="35"/>
      <c r="G12" s="35"/>
      <c r="H12" s="35"/>
      <c r="I12" s="35"/>
      <c r="J12" s="35"/>
    </row>
    <row r="13" spans="1:10" x14ac:dyDescent="0.2">
      <c r="A13" s="34">
        <v>12</v>
      </c>
      <c r="B13" s="35"/>
      <c r="C13" s="35"/>
      <c r="D13" s="35"/>
      <c r="E13" s="35"/>
      <c r="F13" s="35"/>
      <c r="G13" s="35"/>
      <c r="H13" s="35"/>
      <c r="I13" s="35"/>
      <c r="J13" s="35"/>
    </row>
  </sheetData>
  <phoneticPr fontId="1" type="noConversion"/>
  <dataValidations count="1">
    <dataValidation type="list" allowBlank="1" showInputMessage="1" showErrorMessage="1" sqref="H2">
      <formula1>"接受,拒绝,待定"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2"/>
  <sheetViews>
    <sheetView workbookViewId="0">
      <selection activeCell="A2" sqref="A2"/>
    </sheetView>
  </sheetViews>
  <sheetFormatPr defaultColWidth="9" defaultRowHeight="14.25" x14ac:dyDescent="0.2"/>
  <cols>
    <col min="1" max="1" width="14.25" style="56" customWidth="1"/>
    <col min="2" max="2" width="15.25" style="56" customWidth="1"/>
    <col min="3" max="3" width="44.375" style="56" customWidth="1"/>
    <col min="4" max="4" width="12.875" style="56" customWidth="1"/>
    <col min="5" max="5" width="14.875" style="56" customWidth="1"/>
    <col min="6" max="16384" width="9" style="20"/>
  </cols>
  <sheetData>
    <row r="1" spans="1:5" x14ac:dyDescent="0.2">
      <c r="A1" s="57" t="s">
        <v>89</v>
      </c>
      <c r="B1" s="52" t="s">
        <v>85</v>
      </c>
      <c r="C1" s="52" t="s">
        <v>86</v>
      </c>
      <c r="D1" s="52" t="s">
        <v>87</v>
      </c>
      <c r="E1" s="52" t="s">
        <v>88</v>
      </c>
    </row>
    <row r="2" spans="1:5" x14ac:dyDescent="0.2">
      <c r="A2" s="53" t="s">
        <v>94</v>
      </c>
      <c r="B2" s="67" t="s">
        <v>95</v>
      </c>
      <c r="C2" s="53" t="s">
        <v>96</v>
      </c>
      <c r="D2" s="53" t="s">
        <v>97</v>
      </c>
      <c r="E2" s="53" t="s">
        <v>137</v>
      </c>
    </row>
    <row r="3" spans="1:5" x14ac:dyDescent="0.2">
      <c r="A3" s="53"/>
      <c r="B3" s="67"/>
      <c r="C3" s="53"/>
      <c r="D3" s="53"/>
      <c r="E3" s="53"/>
    </row>
    <row r="4" spans="1:5" x14ac:dyDescent="0.2">
      <c r="A4" s="53"/>
      <c r="B4" s="67"/>
      <c r="C4" s="53"/>
      <c r="D4" s="53"/>
      <c r="E4" s="53"/>
    </row>
    <row r="5" spans="1:5" x14ac:dyDescent="0.2">
      <c r="A5" s="53"/>
      <c r="B5" s="67"/>
      <c r="C5" s="53"/>
      <c r="D5" s="53"/>
      <c r="E5" s="53"/>
    </row>
    <row r="6" spans="1:5" x14ac:dyDescent="0.2">
      <c r="A6" s="53"/>
      <c r="B6" s="67"/>
      <c r="C6" s="53"/>
      <c r="D6" s="53"/>
      <c r="E6" s="53"/>
    </row>
    <row r="7" spans="1:5" x14ac:dyDescent="0.2">
      <c r="A7" s="53"/>
      <c r="B7" s="67"/>
      <c r="C7" s="53"/>
      <c r="D7" s="53"/>
      <c r="E7" s="53"/>
    </row>
    <row r="8" spans="1:5" x14ac:dyDescent="0.2">
      <c r="A8" s="53"/>
      <c r="B8" s="67"/>
      <c r="C8" s="53"/>
      <c r="D8" s="53"/>
      <c r="E8" s="53"/>
    </row>
    <row r="9" spans="1:5" x14ac:dyDescent="0.2">
      <c r="A9" s="53"/>
      <c r="B9" s="67"/>
      <c r="C9" s="53"/>
      <c r="D9" s="53"/>
      <c r="E9" s="54"/>
    </row>
    <row r="10" spans="1:5" x14ac:dyDescent="0.2">
      <c r="A10" s="55"/>
    </row>
    <row r="11" spans="1:5" x14ac:dyDescent="0.2">
      <c r="A11" s="55"/>
    </row>
    <row r="12" spans="1:5" x14ac:dyDescent="0.2">
      <c r="A12" s="55"/>
    </row>
  </sheetData>
  <mergeCells count="1">
    <mergeCell ref="B2:B9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Y13"/>
  <sheetViews>
    <sheetView tabSelected="1" topLeftCell="E1" zoomScale="85" zoomScaleNormal="85" workbookViewId="0">
      <pane ySplit="1" topLeftCell="A2" activePane="bottomLeft" state="frozen"/>
      <selection pane="bottomLeft" activeCell="J11" sqref="J11"/>
    </sheetView>
  </sheetViews>
  <sheetFormatPr defaultColWidth="9" defaultRowHeight="16.5" x14ac:dyDescent="0.2"/>
  <cols>
    <col min="1" max="1" width="13.375" style="18" customWidth="1"/>
    <col min="2" max="2" width="18.875" style="18" bestFit="1" customWidth="1"/>
    <col min="3" max="3" width="37.125" style="18" customWidth="1"/>
    <col min="4" max="4" width="22" style="18" customWidth="1"/>
    <col min="5" max="5" width="37" style="18" customWidth="1"/>
    <col min="6" max="6" width="15.875" style="18" customWidth="1"/>
    <col min="7" max="7" width="18.25" style="18" customWidth="1"/>
    <col min="8" max="8" width="18.625" style="18" customWidth="1"/>
    <col min="9" max="9" width="30.375" style="18" customWidth="1"/>
    <col min="10" max="10" width="51.75" style="14" customWidth="1"/>
    <col min="11" max="11" width="19.625" style="18" customWidth="1"/>
    <col min="12" max="13" width="18" style="19" customWidth="1"/>
    <col min="14" max="14" width="16.875" style="18" customWidth="1"/>
    <col min="15" max="15" width="9" style="18"/>
    <col min="16" max="16" width="29.5" style="6" customWidth="1"/>
    <col min="17" max="18" width="9.5" style="8" bestFit="1" customWidth="1"/>
    <col min="19" max="19" width="8.5" style="8" bestFit="1" customWidth="1"/>
    <col min="20" max="20" width="10.5" style="8" bestFit="1" customWidth="1"/>
    <col min="21" max="22" width="11.5" style="8" bestFit="1" customWidth="1"/>
    <col min="23" max="23" width="12.75" style="18" bestFit="1" customWidth="1"/>
    <col min="24" max="24" width="9" style="18"/>
    <col min="25" max="25" width="37.375" style="14" customWidth="1"/>
    <col min="26" max="16384" width="9" style="18"/>
  </cols>
  <sheetData>
    <row r="1" spans="1:25" s="59" customFormat="1" ht="27" x14ac:dyDescent="0.2">
      <c r="A1" s="58" t="s">
        <v>89</v>
      </c>
      <c r="B1" s="58" t="s">
        <v>90</v>
      </c>
      <c r="C1" s="58" t="s">
        <v>91</v>
      </c>
      <c r="D1" s="58" t="s">
        <v>92</v>
      </c>
      <c r="E1" s="58" t="s">
        <v>93</v>
      </c>
      <c r="F1" s="58" t="s">
        <v>13</v>
      </c>
      <c r="G1" s="60" t="s">
        <v>19</v>
      </c>
      <c r="H1" s="60" t="s">
        <v>20</v>
      </c>
      <c r="I1" s="58" t="s">
        <v>0</v>
      </c>
      <c r="J1" s="58" t="s">
        <v>9</v>
      </c>
      <c r="K1" s="58" t="s">
        <v>10</v>
      </c>
      <c r="L1" s="58" t="s">
        <v>82</v>
      </c>
      <c r="M1" s="58" t="s">
        <v>81</v>
      </c>
      <c r="N1" s="58" t="s">
        <v>102</v>
      </c>
      <c r="O1" s="58" t="s">
        <v>99</v>
      </c>
      <c r="P1" s="58" t="s">
        <v>98</v>
      </c>
      <c r="Q1" s="58" t="s">
        <v>14</v>
      </c>
      <c r="R1" s="58" t="s">
        <v>18</v>
      </c>
      <c r="S1" s="58" t="s">
        <v>1</v>
      </c>
      <c r="T1" s="58" t="s">
        <v>2</v>
      </c>
      <c r="U1" s="58" t="s">
        <v>15</v>
      </c>
      <c r="V1" s="58" t="s">
        <v>16</v>
      </c>
      <c r="W1" s="58" t="s">
        <v>100</v>
      </c>
      <c r="X1" s="60" t="s">
        <v>101</v>
      </c>
      <c r="Y1" s="60" t="s">
        <v>17</v>
      </c>
    </row>
    <row r="2" spans="1:25" s="14" customFormat="1" ht="30.75" customHeight="1" x14ac:dyDescent="0.2">
      <c r="A2" s="2" t="s">
        <v>145</v>
      </c>
      <c r="B2" s="15" t="s">
        <v>138</v>
      </c>
      <c r="C2" s="2" t="s">
        <v>141</v>
      </c>
      <c r="D2" s="2" t="s">
        <v>140</v>
      </c>
      <c r="E2" s="2" t="s">
        <v>160</v>
      </c>
      <c r="F2" s="2"/>
      <c r="G2" s="46">
        <v>44028</v>
      </c>
      <c r="H2" s="47">
        <v>11</v>
      </c>
      <c r="I2" s="2" t="s">
        <v>163</v>
      </c>
      <c r="J2" s="2" t="s">
        <v>164</v>
      </c>
      <c r="K2" s="2"/>
      <c r="L2" s="4">
        <v>3</v>
      </c>
      <c r="M2" s="4"/>
      <c r="N2" s="4" t="s">
        <v>162</v>
      </c>
      <c r="O2" s="4"/>
      <c r="P2" s="7"/>
      <c r="Q2" s="9"/>
      <c r="R2" s="9"/>
      <c r="S2" s="9"/>
      <c r="T2" s="9"/>
      <c r="U2" s="9"/>
      <c r="V2" s="9"/>
      <c r="W2" s="17"/>
      <c r="X2" s="16"/>
      <c r="Y2" s="2" t="s">
        <v>147</v>
      </c>
    </row>
    <row r="3" spans="1:25" s="14" customFormat="1" ht="30.75" customHeight="1" x14ac:dyDescent="0.2">
      <c r="A3" s="2" t="s">
        <v>145</v>
      </c>
      <c r="B3" s="15" t="s">
        <v>138</v>
      </c>
      <c r="C3" s="2" t="s">
        <v>141</v>
      </c>
      <c r="D3" s="2"/>
      <c r="E3" s="2"/>
      <c r="F3" s="2"/>
      <c r="G3" s="46"/>
      <c r="H3" s="47"/>
      <c r="I3" s="2" t="s">
        <v>149</v>
      </c>
      <c r="J3" s="2" t="s">
        <v>166</v>
      </c>
      <c r="K3" s="2"/>
      <c r="L3" s="4">
        <v>3</v>
      </c>
      <c r="M3" s="4"/>
      <c r="N3" s="4" t="s">
        <v>162</v>
      </c>
      <c r="O3" s="4"/>
      <c r="P3" s="7"/>
      <c r="Q3" s="9"/>
      <c r="R3" s="9"/>
      <c r="S3" s="9"/>
      <c r="T3" s="9"/>
      <c r="U3" s="9"/>
      <c r="V3" s="9"/>
      <c r="W3" s="17"/>
      <c r="X3" s="16"/>
      <c r="Y3" s="2" t="s">
        <v>147</v>
      </c>
    </row>
    <row r="4" spans="1:25" s="14" customFormat="1" ht="30.75" customHeight="1" x14ac:dyDescent="0.2">
      <c r="A4" s="2" t="s">
        <v>145</v>
      </c>
      <c r="B4" s="15" t="s">
        <v>138</v>
      </c>
      <c r="C4" s="2" t="s">
        <v>141</v>
      </c>
      <c r="D4" s="2"/>
      <c r="E4" s="2"/>
      <c r="F4" s="2"/>
      <c r="G4" s="46"/>
      <c r="H4" s="47"/>
      <c r="I4" s="2" t="s">
        <v>150</v>
      </c>
      <c r="J4" s="2" t="s">
        <v>142</v>
      </c>
      <c r="K4" s="2"/>
      <c r="L4" s="4">
        <v>3</v>
      </c>
      <c r="M4" s="4"/>
      <c r="N4" s="4" t="s">
        <v>162</v>
      </c>
      <c r="O4" s="4"/>
      <c r="P4" s="7"/>
      <c r="Q4" s="9"/>
      <c r="R4" s="9"/>
      <c r="S4" s="9"/>
      <c r="T4" s="9"/>
      <c r="U4" s="9"/>
      <c r="V4" s="9"/>
      <c r="W4" s="17"/>
      <c r="X4" s="16"/>
      <c r="Y4" s="2" t="s">
        <v>147</v>
      </c>
    </row>
    <row r="5" spans="1:25" s="14" customFormat="1" ht="30.75" customHeight="1" x14ac:dyDescent="0.2">
      <c r="A5" s="2"/>
      <c r="B5" s="15"/>
      <c r="C5" s="2"/>
      <c r="D5" s="2"/>
      <c r="E5" s="2"/>
      <c r="F5" s="2"/>
      <c r="G5" s="46"/>
      <c r="H5" s="47"/>
      <c r="I5" s="2" t="s">
        <v>151</v>
      </c>
      <c r="J5" s="2" t="s">
        <v>143</v>
      </c>
      <c r="K5" s="2"/>
      <c r="L5" s="4">
        <v>3</v>
      </c>
      <c r="M5" s="4"/>
      <c r="N5" s="4" t="s">
        <v>162</v>
      </c>
      <c r="O5" s="4"/>
      <c r="P5" s="7"/>
      <c r="Q5" s="9"/>
      <c r="R5" s="9"/>
      <c r="S5" s="9"/>
      <c r="T5" s="9"/>
      <c r="U5" s="9"/>
      <c r="V5" s="9"/>
      <c r="W5" s="17"/>
      <c r="X5" s="16"/>
      <c r="Y5" s="2" t="s">
        <v>147</v>
      </c>
    </row>
    <row r="6" spans="1:25" s="14" customFormat="1" ht="30.75" customHeight="1" x14ac:dyDescent="0.2">
      <c r="A6" s="2"/>
      <c r="B6" s="15"/>
      <c r="C6" s="2"/>
      <c r="D6" s="2"/>
      <c r="E6" s="2"/>
      <c r="F6" s="2"/>
      <c r="G6" s="46"/>
      <c r="H6" s="47"/>
      <c r="I6" s="2" t="s">
        <v>152</v>
      </c>
      <c r="J6" s="2" t="s">
        <v>158</v>
      </c>
      <c r="K6" s="2"/>
      <c r="L6" s="4">
        <v>2</v>
      </c>
      <c r="M6" s="4"/>
      <c r="N6" s="4" t="s">
        <v>148</v>
      </c>
      <c r="O6" s="4"/>
      <c r="P6" s="7"/>
      <c r="Q6" s="9"/>
      <c r="R6" s="9"/>
      <c r="S6" s="9"/>
      <c r="T6" s="9"/>
      <c r="U6" s="9"/>
      <c r="V6" s="9"/>
      <c r="W6" s="17"/>
      <c r="X6" s="16"/>
      <c r="Y6" s="2"/>
    </row>
    <row r="7" spans="1:25" s="14" customFormat="1" ht="28.5" x14ac:dyDescent="0.2">
      <c r="A7" s="2"/>
      <c r="B7" s="15"/>
      <c r="C7" s="2"/>
      <c r="D7" s="2"/>
      <c r="E7" s="2"/>
      <c r="F7" s="2"/>
      <c r="G7" s="46"/>
      <c r="H7" s="47"/>
      <c r="I7" s="2" t="s">
        <v>153</v>
      </c>
      <c r="J7" s="2" t="s">
        <v>146</v>
      </c>
      <c r="K7" s="2"/>
      <c r="L7" s="4">
        <v>2</v>
      </c>
      <c r="M7" s="4"/>
      <c r="N7" s="4" t="s">
        <v>162</v>
      </c>
      <c r="O7" s="4"/>
      <c r="P7" s="7"/>
      <c r="Q7" s="9"/>
      <c r="R7" s="9"/>
      <c r="S7" s="9"/>
      <c r="T7" s="9"/>
      <c r="U7" s="9"/>
      <c r="V7" s="9"/>
      <c r="W7" s="17" t="s">
        <v>129</v>
      </c>
      <c r="X7" s="16" t="s">
        <v>12</v>
      </c>
      <c r="Y7" s="2"/>
    </row>
    <row r="8" spans="1:25" s="14" customFormat="1" ht="31.5" customHeight="1" x14ac:dyDescent="0.2">
      <c r="A8" s="2"/>
      <c r="B8" s="15"/>
      <c r="C8" s="2"/>
      <c r="D8" s="2"/>
      <c r="E8" s="2"/>
      <c r="F8" s="2"/>
      <c r="G8" s="46"/>
      <c r="H8" s="47"/>
      <c r="I8" s="2" t="s">
        <v>165</v>
      </c>
      <c r="J8" s="2" t="s">
        <v>167</v>
      </c>
      <c r="K8" s="2"/>
      <c r="L8" s="4">
        <v>5</v>
      </c>
      <c r="M8" s="4"/>
      <c r="N8" s="4" t="s">
        <v>162</v>
      </c>
      <c r="O8" s="4"/>
      <c r="P8" s="7"/>
      <c r="Q8" s="9"/>
      <c r="R8" s="9"/>
      <c r="S8" s="9"/>
      <c r="T8" s="9"/>
      <c r="U8" s="9"/>
      <c r="V8" s="9"/>
      <c r="W8" s="17" t="s">
        <v>129</v>
      </c>
      <c r="X8" s="16" t="s">
        <v>12</v>
      </c>
      <c r="Y8" s="2" t="s">
        <v>159</v>
      </c>
    </row>
    <row r="9" spans="1:25" s="14" customFormat="1" ht="28.5" x14ac:dyDescent="0.2">
      <c r="A9" s="2"/>
      <c r="B9" s="15"/>
      <c r="C9" s="2"/>
      <c r="D9" s="2" t="s">
        <v>139</v>
      </c>
      <c r="E9" s="2" t="s">
        <v>157</v>
      </c>
      <c r="F9" s="2" t="s">
        <v>140</v>
      </c>
      <c r="G9" s="46">
        <v>44039</v>
      </c>
      <c r="H9" s="47">
        <v>9</v>
      </c>
      <c r="I9" s="2" t="s">
        <v>154</v>
      </c>
      <c r="J9" s="2" t="s">
        <v>169</v>
      </c>
      <c r="K9" s="2"/>
      <c r="L9" s="4">
        <v>1</v>
      </c>
      <c r="M9" s="4"/>
      <c r="N9" s="4" t="s">
        <v>148</v>
      </c>
      <c r="O9" s="4"/>
      <c r="P9" s="7"/>
      <c r="Q9" s="9"/>
      <c r="R9" s="9"/>
      <c r="S9" s="9"/>
      <c r="T9" s="9"/>
      <c r="U9" s="9"/>
      <c r="V9" s="9"/>
      <c r="W9" s="17"/>
      <c r="X9" s="16"/>
      <c r="Y9" s="2"/>
    </row>
    <row r="10" spans="1:25" s="14" customFormat="1" ht="28.5" x14ac:dyDescent="0.2">
      <c r="A10" s="15"/>
      <c r="B10" s="15"/>
      <c r="C10" s="2"/>
      <c r="D10" s="2"/>
      <c r="E10" s="2"/>
      <c r="F10" s="2"/>
      <c r="G10" s="46"/>
      <c r="H10" s="47"/>
      <c r="I10" s="2" t="s">
        <v>155</v>
      </c>
      <c r="J10" s="2" t="s">
        <v>168</v>
      </c>
      <c r="K10" s="2"/>
      <c r="L10" s="4">
        <v>5</v>
      </c>
      <c r="M10" s="4"/>
      <c r="N10" s="4" t="s">
        <v>162</v>
      </c>
      <c r="O10" s="4"/>
      <c r="P10" s="7"/>
      <c r="Q10" s="9"/>
      <c r="R10" s="9"/>
      <c r="S10" s="9"/>
      <c r="T10" s="9"/>
      <c r="U10" s="9"/>
      <c r="V10" s="9"/>
      <c r="W10" s="17" t="s">
        <v>130</v>
      </c>
      <c r="X10" s="16" t="s">
        <v>12</v>
      </c>
      <c r="Y10" s="2"/>
    </row>
    <row r="11" spans="1:25" s="14" customFormat="1" ht="28.5" x14ac:dyDescent="0.2">
      <c r="A11" s="15"/>
      <c r="B11" s="15"/>
      <c r="C11" s="2"/>
      <c r="D11" s="2"/>
      <c r="E11" s="2"/>
      <c r="F11" s="2"/>
      <c r="G11" s="46"/>
      <c r="H11" s="47"/>
      <c r="I11" s="2" t="s">
        <v>156</v>
      </c>
      <c r="J11" s="2" t="s">
        <v>144</v>
      </c>
      <c r="K11" s="2"/>
      <c r="L11" s="4">
        <v>4</v>
      </c>
      <c r="M11" s="4"/>
      <c r="N11" s="4" t="s">
        <v>162</v>
      </c>
      <c r="O11" s="4"/>
      <c r="P11" s="48"/>
      <c r="Q11" s="9"/>
      <c r="R11" s="9"/>
      <c r="S11" s="9"/>
      <c r="T11" s="9"/>
      <c r="U11" s="9"/>
      <c r="V11" s="9"/>
      <c r="W11" s="17" t="s">
        <v>130</v>
      </c>
      <c r="X11" s="16" t="s">
        <v>12</v>
      </c>
      <c r="Y11" s="2"/>
    </row>
    <row r="12" spans="1:25" s="14" customFormat="1" ht="24" customHeight="1" x14ac:dyDescent="0.2">
      <c r="A12" s="15"/>
      <c r="B12" s="15"/>
      <c r="C12" s="2"/>
      <c r="D12" s="2"/>
      <c r="E12" s="2"/>
      <c r="F12" s="2"/>
      <c r="G12" s="46"/>
      <c r="H12" s="47"/>
      <c r="I12" s="2"/>
      <c r="J12" s="2"/>
      <c r="K12" s="2"/>
      <c r="L12" s="4"/>
      <c r="M12" s="4"/>
      <c r="N12" s="4"/>
      <c r="O12" s="4"/>
      <c r="P12" s="7"/>
      <c r="Q12" s="9"/>
      <c r="R12" s="9"/>
      <c r="S12" s="9"/>
      <c r="T12" s="9"/>
      <c r="U12" s="9"/>
      <c r="V12" s="9"/>
      <c r="W12" s="17" t="s">
        <v>130</v>
      </c>
      <c r="X12" s="16" t="s">
        <v>12</v>
      </c>
      <c r="Y12" s="2"/>
    </row>
    <row r="13" spans="1:25" x14ac:dyDescent="0.2">
      <c r="K13" s="50" t="s">
        <v>80</v>
      </c>
      <c r="L13" s="49">
        <f>SUM(L2:L12)</f>
        <v>31</v>
      </c>
      <c r="M13" s="51"/>
    </row>
  </sheetData>
  <autoFilter ref="A1:AJ12">
    <sortState ref="A2:AB226">
      <sortCondition ref="A2:A226"/>
      <sortCondition ref="E2:E226"/>
    </sortState>
  </autoFilter>
  <phoneticPr fontId="4" type="noConversion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配置信息!$H$1:$H$37</xm:f>
          </x14:formula1>
          <xm:sqref>K14:K1048576 K1:K12</xm:sqref>
        </x14:dataValidation>
        <x14:dataValidation type="list" allowBlank="1" showInputMessage="1" showErrorMessage="1">
          <x14:formula1>
            <xm:f>配置信息!$D$1:$D$23</xm:f>
          </x14:formula1>
          <xm:sqref>O1:O1048576</xm:sqref>
        </x14:dataValidation>
        <x14:dataValidation type="list" allowBlank="1" showInputMessage="1" showErrorMessage="1">
          <x14:formula1>
            <xm:f>配置信息!$F$1:$F$3</xm:f>
          </x14:formula1>
          <xm:sqref>Q1:Q1048576 R2:V12</xm:sqref>
        </x14:dataValidation>
        <x14:dataValidation type="list" allowBlank="1" showInputMessage="1" showErrorMessage="1">
          <x14:formula1>
            <xm:f>配置信息!$J$1:$J$4</xm:f>
          </x14:formula1>
          <xm:sqref>W1:W1048576</xm:sqref>
        </x14:dataValidation>
        <x14:dataValidation type="list" allowBlank="1" showInputMessage="1" showErrorMessage="1">
          <x14:formula1>
            <xm:f>配置信息!$L$1:$L$2</xm:f>
          </x14:formula1>
          <xm:sqref>X1:X1048576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"/>
  <sheetViews>
    <sheetView zoomScale="70" zoomScaleNormal="70" workbookViewId="0">
      <selection activeCell="T2" sqref="T2"/>
    </sheetView>
  </sheetViews>
  <sheetFormatPr defaultColWidth="9" defaultRowHeight="14.25" x14ac:dyDescent="0.2"/>
  <cols>
    <col min="1" max="16384" width="9" style="5"/>
  </cols>
  <sheetData>
    <row r="1" spans="1:22" x14ac:dyDescent="0.2">
      <c r="A1" s="5" t="s">
        <v>161</v>
      </c>
    </row>
    <row r="2" spans="1:22" s="61" customFormat="1" ht="27" customHeight="1" x14ac:dyDescent="0.2">
      <c r="A2" s="62">
        <v>0</v>
      </c>
      <c r="B2" s="62">
        <v>1</v>
      </c>
      <c r="C2" s="62">
        <v>2</v>
      </c>
      <c r="D2" s="62">
        <v>3</v>
      </c>
      <c r="E2" s="62">
        <v>4</v>
      </c>
      <c r="F2" s="62">
        <v>5</v>
      </c>
      <c r="G2" s="62">
        <v>6</v>
      </c>
      <c r="H2" s="62">
        <v>7</v>
      </c>
      <c r="I2" s="62">
        <v>8</v>
      </c>
      <c r="J2" s="62">
        <v>9</v>
      </c>
      <c r="K2" s="62">
        <v>10</v>
      </c>
      <c r="L2" s="62">
        <v>11</v>
      </c>
      <c r="M2" s="62">
        <v>12</v>
      </c>
      <c r="N2" s="62">
        <v>13</v>
      </c>
      <c r="O2" s="62">
        <v>14</v>
      </c>
      <c r="P2" s="62">
        <v>15</v>
      </c>
      <c r="Q2" s="62">
        <v>16</v>
      </c>
      <c r="R2" s="62">
        <v>17</v>
      </c>
      <c r="S2" s="62">
        <v>18</v>
      </c>
      <c r="T2" s="62">
        <v>19</v>
      </c>
      <c r="U2" s="62">
        <v>20</v>
      </c>
      <c r="V2" s="62">
        <v>21</v>
      </c>
    </row>
  </sheetData>
  <phoneticPr fontId="1" type="noConversion"/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39"/>
  <sheetViews>
    <sheetView topLeftCell="B1" workbookViewId="0">
      <selection activeCell="B3" sqref="B3"/>
    </sheetView>
  </sheetViews>
  <sheetFormatPr defaultRowHeight="14.25" x14ac:dyDescent="0.2"/>
  <cols>
    <col min="1" max="1" width="11.875" customWidth="1"/>
    <col min="2" max="2" width="21.25" customWidth="1"/>
    <col min="4" max="4" width="18.875" bestFit="1" customWidth="1"/>
    <col min="7" max="7" width="6" customWidth="1"/>
    <col min="8" max="8" width="40.25" customWidth="1"/>
    <col min="10" max="10" width="13.25" bestFit="1" customWidth="1"/>
    <col min="12" max="12" width="13.25" bestFit="1" customWidth="1"/>
  </cols>
  <sheetData>
    <row r="1" spans="1:12" ht="16.5" x14ac:dyDescent="0.2">
      <c r="A1" s="10" t="s">
        <v>3</v>
      </c>
      <c r="B1" s="10" t="s">
        <v>4</v>
      </c>
      <c r="D1" s="44" t="s">
        <v>103</v>
      </c>
      <c r="F1" s="44" t="s">
        <v>126</v>
      </c>
      <c r="H1" s="44" t="s">
        <v>53</v>
      </c>
      <c r="J1" s="44" t="s">
        <v>131</v>
      </c>
      <c r="L1" s="44" t="s">
        <v>135</v>
      </c>
    </row>
    <row r="2" spans="1:12" ht="16.5" x14ac:dyDescent="0.2">
      <c r="A2" s="1" t="s">
        <v>5</v>
      </c>
      <c r="B2" s="11">
        <v>44028</v>
      </c>
      <c r="D2" s="44" t="s">
        <v>104</v>
      </c>
      <c r="F2" s="44" t="s">
        <v>127</v>
      </c>
      <c r="H2" s="44" t="s">
        <v>79</v>
      </c>
      <c r="J2" s="44" t="s">
        <v>132</v>
      </c>
      <c r="L2" s="42" t="s">
        <v>136</v>
      </c>
    </row>
    <row r="3" spans="1:12" ht="16.5" x14ac:dyDescent="0.2">
      <c r="A3" s="1"/>
      <c r="B3" s="1"/>
      <c r="D3" s="44" t="s">
        <v>105</v>
      </c>
      <c r="F3" s="42" t="s">
        <v>128</v>
      </c>
      <c r="H3" s="43" t="s">
        <v>54</v>
      </c>
      <c r="J3" s="42" t="s">
        <v>133</v>
      </c>
    </row>
    <row r="4" spans="1:12" ht="16.5" x14ac:dyDescent="0.2">
      <c r="A4" s="1"/>
      <c r="B4" s="1"/>
      <c r="D4" s="44" t="s">
        <v>106</v>
      </c>
      <c r="H4" s="45" t="s">
        <v>55</v>
      </c>
      <c r="J4" s="42" t="s">
        <v>134</v>
      </c>
    </row>
    <row r="5" spans="1:12" ht="16.5" x14ac:dyDescent="0.2">
      <c r="A5" s="1"/>
      <c r="B5" s="1"/>
      <c r="D5" s="44" t="s">
        <v>107</v>
      </c>
      <c r="H5" s="43" t="s">
        <v>56</v>
      </c>
    </row>
    <row r="6" spans="1:12" ht="16.5" x14ac:dyDescent="0.2">
      <c r="A6" s="1"/>
      <c r="B6" s="1"/>
      <c r="D6" s="44" t="s">
        <v>108</v>
      </c>
      <c r="H6" s="43" t="s">
        <v>57</v>
      </c>
    </row>
    <row r="7" spans="1:12" ht="16.5" x14ac:dyDescent="0.2">
      <c r="A7" s="1"/>
      <c r="B7" s="1"/>
      <c r="D7" s="44" t="s">
        <v>109</v>
      </c>
      <c r="H7" s="45" t="s">
        <v>58</v>
      </c>
    </row>
    <row r="8" spans="1:12" ht="16.5" x14ac:dyDescent="0.2">
      <c r="A8" s="1"/>
      <c r="B8" s="1"/>
      <c r="D8" s="44" t="s">
        <v>110</v>
      </c>
      <c r="H8" s="43" t="s">
        <v>59</v>
      </c>
    </row>
    <row r="9" spans="1:12" ht="16.5" x14ac:dyDescent="0.2">
      <c r="A9" s="1"/>
      <c r="B9" s="1"/>
      <c r="D9" s="44" t="s">
        <v>111</v>
      </c>
      <c r="H9" s="45" t="s">
        <v>60</v>
      </c>
    </row>
    <row r="10" spans="1:12" ht="16.5" x14ac:dyDescent="0.2">
      <c r="A10" s="1"/>
      <c r="B10" s="1"/>
      <c r="D10" s="44" t="s">
        <v>112</v>
      </c>
      <c r="H10" s="42" t="s">
        <v>61</v>
      </c>
    </row>
    <row r="11" spans="1:12" ht="16.5" x14ac:dyDescent="0.2">
      <c r="A11" s="1"/>
      <c r="B11" s="1"/>
      <c r="D11" s="44" t="s">
        <v>113</v>
      </c>
      <c r="H11" s="45" t="s">
        <v>62</v>
      </c>
    </row>
    <row r="12" spans="1:12" ht="16.5" x14ac:dyDescent="0.2">
      <c r="A12" s="1"/>
      <c r="B12" s="1"/>
      <c r="D12" s="44" t="s">
        <v>114</v>
      </c>
      <c r="H12" s="43" t="s">
        <v>63</v>
      </c>
    </row>
    <row r="13" spans="1:12" ht="16.5" x14ac:dyDescent="0.2">
      <c r="A13" s="1"/>
      <c r="B13" s="1"/>
      <c r="D13" s="44" t="s">
        <v>115</v>
      </c>
      <c r="H13" s="43" t="s">
        <v>64</v>
      </c>
    </row>
    <row r="14" spans="1:12" ht="16.5" x14ac:dyDescent="0.2">
      <c r="A14" s="1"/>
      <c r="B14" s="1"/>
      <c r="D14" s="44" t="s">
        <v>116</v>
      </c>
      <c r="H14" s="43" t="s">
        <v>65</v>
      </c>
    </row>
    <row r="15" spans="1:12" ht="16.5" x14ac:dyDescent="0.2">
      <c r="A15" s="1"/>
      <c r="B15" s="1"/>
      <c r="D15" s="44" t="s">
        <v>117</v>
      </c>
      <c r="H15" s="42" t="s">
        <v>43</v>
      </c>
    </row>
    <row r="16" spans="1:12" ht="16.5" x14ac:dyDescent="0.2">
      <c r="A16" s="1"/>
      <c r="B16" s="1"/>
      <c r="D16" s="44" t="s">
        <v>118</v>
      </c>
      <c r="H16" s="44" t="s">
        <v>78</v>
      </c>
    </row>
    <row r="17" spans="1:8" ht="16.5" x14ac:dyDescent="0.2">
      <c r="A17" s="1"/>
      <c r="B17" s="1"/>
      <c r="D17" s="44" t="s">
        <v>119</v>
      </c>
      <c r="H17" s="44" t="s">
        <v>76</v>
      </c>
    </row>
    <row r="18" spans="1:8" ht="16.5" x14ac:dyDescent="0.2">
      <c r="A18" s="1"/>
      <c r="B18" s="1"/>
      <c r="D18" s="44" t="s">
        <v>120</v>
      </c>
      <c r="H18" s="44" t="s">
        <v>77</v>
      </c>
    </row>
    <row r="19" spans="1:8" ht="16.5" x14ac:dyDescent="0.2">
      <c r="D19" s="44" t="s">
        <v>121</v>
      </c>
      <c r="H19" s="45" t="s">
        <v>66</v>
      </c>
    </row>
    <row r="20" spans="1:8" ht="16.5" x14ac:dyDescent="0.2">
      <c r="D20" s="44" t="s">
        <v>122</v>
      </c>
      <c r="H20" s="44" t="s">
        <v>67</v>
      </c>
    </row>
    <row r="21" spans="1:8" ht="15" customHeight="1" x14ac:dyDescent="0.2">
      <c r="D21" s="44" t="s">
        <v>123</v>
      </c>
      <c r="H21" s="42" t="s">
        <v>68</v>
      </c>
    </row>
    <row r="22" spans="1:8" ht="16.5" x14ac:dyDescent="0.2">
      <c r="D22" s="44" t="s">
        <v>124</v>
      </c>
      <c r="H22" s="43" t="s">
        <v>69</v>
      </c>
    </row>
    <row r="23" spans="1:8" ht="14.25" customHeight="1" x14ac:dyDescent="0.2">
      <c r="D23" s="42" t="s">
        <v>125</v>
      </c>
      <c r="H23" s="43" t="s">
        <v>70</v>
      </c>
    </row>
    <row r="24" spans="1:8" ht="14.25" customHeight="1" x14ac:dyDescent="0.2">
      <c r="H24" s="43" t="s">
        <v>71</v>
      </c>
    </row>
    <row r="25" spans="1:8" ht="14.25" customHeight="1" x14ac:dyDescent="0.2">
      <c r="H25" s="43" t="s">
        <v>44</v>
      </c>
    </row>
    <row r="26" spans="1:8" ht="14.25" customHeight="1" x14ac:dyDescent="0.2">
      <c r="H26" s="43" t="s">
        <v>45</v>
      </c>
    </row>
    <row r="27" spans="1:8" ht="14.25" customHeight="1" x14ac:dyDescent="0.2">
      <c r="H27" s="43" t="s">
        <v>46</v>
      </c>
    </row>
    <row r="28" spans="1:8" ht="14.25" customHeight="1" x14ac:dyDescent="0.2">
      <c r="H28" s="43" t="s">
        <v>47</v>
      </c>
    </row>
    <row r="29" spans="1:8" ht="16.5" x14ac:dyDescent="0.2">
      <c r="H29" s="43" t="s">
        <v>48</v>
      </c>
    </row>
    <row r="30" spans="1:8" ht="14.25" customHeight="1" x14ac:dyDescent="0.2">
      <c r="H30" s="43" t="s">
        <v>49</v>
      </c>
    </row>
    <row r="31" spans="1:8" ht="14.25" customHeight="1" x14ac:dyDescent="0.2">
      <c r="H31" s="43" t="s">
        <v>75</v>
      </c>
    </row>
    <row r="32" spans="1:8" ht="14.25" customHeight="1" x14ac:dyDescent="0.2">
      <c r="H32" s="43" t="s">
        <v>50</v>
      </c>
    </row>
    <row r="33" spans="8:8" ht="14.25" customHeight="1" x14ac:dyDescent="0.2">
      <c r="H33" s="43" t="s">
        <v>51</v>
      </c>
    </row>
    <row r="34" spans="8:8" ht="14.25" customHeight="1" x14ac:dyDescent="0.2">
      <c r="H34" s="43" t="s">
        <v>52</v>
      </c>
    </row>
    <row r="35" spans="8:8" ht="14.25" customHeight="1" x14ac:dyDescent="0.2">
      <c r="H35" s="43" t="s">
        <v>72</v>
      </c>
    </row>
    <row r="36" spans="8:8" ht="14.25" customHeight="1" x14ac:dyDescent="0.2">
      <c r="H36" s="43" t="s">
        <v>73</v>
      </c>
    </row>
    <row r="37" spans="8:8" ht="14.25" customHeight="1" x14ac:dyDescent="0.2">
      <c r="H37" s="43" t="s">
        <v>74</v>
      </c>
    </row>
    <row r="38" spans="8:8" ht="14.25" customHeight="1" x14ac:dyDescent="0.2"/>
    <row r="39" spans="8:8" ht="14.25" customHeight="1" x14ac:dyDescent="0.2"/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SRShape" altText="生成交付地图">
                <anchor moveWithCells="1" sizeWithCells="1">
                  <from>
                    <xdr:col>0</xdr:col>
                    <xdr:colOff>171450</xdr:colOff>
                    <xdr:row>3</xdr:row>
                    <xdr:rowOff>114300</xdr:rowOff>
                  </from>
                  <to>
                    <xdr:col>1</xdr:col>
                    <xdr:colOff>1314450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"/>
  <sheetViews>
    <sheetView workbookViewId="0">
      <selection activeCell="H27" sqref="H27"/>
    </sheetView>
  </sheetViews>
  <sheetFormatPr defaultRowHeight="14.25" x14ac:dyDescent="0.2"/>
  <cols>
    <col min="1" max="1" width="9" style="3"/>
    <col min="2" max="2" width="24.5" style="1" bestFit="1" customWidth="1"/>
    <col min="3" max="3" width="35.875" style="1" bestFit="1" customWidth="1"/>
  </cols>
  <sheetData>
    <row r="1" spans="1:3" x14ac:dyDescent="0.2">
      <c r="A1" s="13" t="s">
        <v>6</v>
      </c>
      <c r="B1" s="12" t="s">
        <v>7</v>
      </c>
      <c r="C1" s="12" t="s">
        <v>8</v>
      </c>
    </row>
  </sheetData>
  <autoFilter ref="A1:C244"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封面</vt:lpstr>
      <vt:lpstr>History</vt:lpstr>
      <vt:lpstr>CCB记录</vt:lpstr>
      <vt:lpstr>IR</vt:lpstr>
      <vt:lpstr>需求分解分配表</vt:lpstr>
      <vt:lpstr>交付地图</vt:lpstr>
      <vt:lpstr>配置信息</vt:lpstr>
      <vt:lpstr>异常信息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Xiao, Zhengfei (肖正飞)</dc:creator>
  <cp:lastModifiedBy>Wang, Quanjie (汪全杰)</cp:lastModifiedBy>
  <dcterms:created xsi:type="dcterms:W3CDTF">2020-06-01T11:14:31Z</dcterms:created>
  <dcterms:modified xsi:type="dcterms:W3CDTF">2020-08-03T02:01:48Z</dcterms:modified>
</cp:coreProperties>
</file>